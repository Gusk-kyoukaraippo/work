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d4507536eee4880" /></Relationships>
</file>

<file path=xl/workbook.xml><?xml version="1.0" encoding="utf-8"?>
<workbook xmlns="http://schemas.openxmlformats.org/spreadsheetml/2006/main" xmlns:r="http://schemas.openxmlformats.org/officeDocument/2006/relationships">
  <sheets>
    <sheet name="アプリホーム" sheetId="1" r:id="Rf44304460d8944cd"/>
    <sheet name="アプリ登録" sheetId="2" r:id="R5b88d49f1b7e414e"/>
  </sheets>
  <calcPr calcMode="auto" fullCalcOnLoad="1" forceFullCalc="1"/>
</workbook>
</file>

<file path=xl/sharedStrings.xml><?xml version="1.0" encoding="utf-8"?>
<x:sst xmlns:x="http://schemas.openxmlformats.org/spreadsheetml/2006/main"/>
</file>

<file path=xl/styles.xml><?xml version="1.0" encoding="utf-8"?>
<x:styleSheet xmlns:x="http://schemas.openxmlformats.org/spreadsheetml/2006/main">
  <x:fonts count="30">
    <x:font>
      <x:sz val="11"/>
      <x:name val="Carlito"/>
    </x:font>
    <x:font>
      <x:sz val="13"/>
      <x:color rgb="FF263B4B"/>
      <x:name val="Yu Gothic"/>
    </x:font>
    <x:font>
      <x:b/>
      <x:sz val="11"/>
      <x:color rgb="FF687988"/>
      <x:name val="Yu Gothic"/>
    </x:font>
    <x:font>
      <x:b/>
      <x:sz val="25"/>
      <x:color rgb="FF263B4B"/>
      <x:name val="Yu Gothic"/>
    </x:font>
    <x:font>
      <x:b/>
      <x:sz val="12"/>
      <x:color rgb="FF176B53"/>
      <x:name val="Yu Gothic"/>
    </x:font>
    <x:font>
      <x:sz val="11"/>
      <x:color rgb="FF687988"/>
      <x:name val="Yu Gothic"/>
    </x:font>
    <x:font>
      <x:b/>
      <x:sz val="14"/>
      <x:color rgb="FF263B4B"/>
      <x:name val="Yu Gothic"/>
    </x:font>
    <x:font>
      <x:sz val="12"/>
      <x:color rgb="FF687988"/>
      <x:name val="Yu Gothic"/>
    </x:font>
    <x:font>
      <x:b/>
      <x:sz val="10"/>
      <x:color rgb="FF647285"/>
      <x:name val="Yu Gothic"/>
    </x:font>
    <x:font>
      <x:sz val="12"/>
      <x:color rgb="FF526474"/>
      <x:name val="Yu Gothic"/>
    </x:font>
    <x:font>
      <x:b/>
      <x:sz val="26"/>
      <x:color rgb="FF176B53"/>
      <x:name val="Yu Gothic"/>
    </x:font>
    <x:font>
      <x:b/>
      <x:sz val="11"/>
      <x:color rgb="FF176B53"/>
      <x:name val="Yu Gothic"/>
    </x:font>
    <x:font>
      <x:b/>
      <x:sz val="16"/>
      <x:color rgb="FF263B4B"/>
      <x:name val="Yu Gothic"/>
    </x:font>
    <x:font>
      <x:b/>
      <x:sz val="13"/>
      <x:color rgb="FF263B4B"/>
      <x:name val="Yu Gothic"/>
    </x:font>
    <x:font>
      <x:b/>
      <x:sz val="26"/>
      <x:color rgb="FF455EA1"/>
      <x:name val="Yu Gothic"/>
    </x:font>
    <x:font>
      <x:b/>
      <x:sz val="11"/>
      <x:color rgb="FF455EA1"/>
      <x:name val="Yu Gothic"/>
    </x:font>
    <x:font>
      <x:b/>
      <x:sz val="26"/>
      <x:color rgb="FF985B22"/>
      <x:name val="Yu Gothic"/>
    </x:font>
    <x:font>
      <x:b/>
      <x:sz val="11"/>
      <x:color rgb="FF985B22"/>
      <x:name val="Yu Gothic"/>
    </x:font>
    <x:font>
      <x:b/>
      <x:sz val="26"/>
      <x:color rgb="FF77549D"/>
      <x:name val="Yu Gothic"/>
    </x:font>
    <x:font>
      <x:b/>
      <x:sz val="11"/>
      <x:color rgb="FF77549D"/>
      <x:name val="Yu Gothic"/>
    </x:font>
    <x:font>
      <x:b/>
      <x:sz val="26"/>
      <x:color rgb="FFA34867"/>
      <x:name val="Yu Gothic"/>
    </x:font>
    <x:font>
      <x:b/>
      <x:sz val="11"/>
      <x:color rgb="FFA34867"/>
      <x:name val="Yu Gothic"/>
    </x:font>
    <x:font>
      <x:b/>
      <x:sz val="26"/>
      <x:color rgb="FF267480"/>
      <x:name val="Yu Gothic"/>
    </x:font>
    <x:font>
      <x:b/>
      <x:sz val="11"/>
      <x:color rgb="FF267480"/>
      <x:name val="Yu Gothic"/>
    </x:font>
    <x:font>
      <x:sz val="11"/>
      <x:color rgb="FF263B4B"/>
      <x:name val="Yu Gothic"/>
    </x:font>
    <x:font>
      <x:b/>
      <x:sz val="20"/>
      <x:color rgb="FF263B4B"/>
      <x:name val="Yu Gothic"/>
    </x:font>
    <x:font>
      <x:sz val="12"/>
      <x:color rgb="FF263B4B"/>
      <x:name val="Yu Gothic"/>
    </x:font>
    <x:font>
      <x:sz val="11"/>
      <x:color rgb="FF263B4B"/>
      <x:name val="Yu Gothic"/>
    </x:font>
    <x:font>
      <x:b/>
      <x:sz val="11"/>
      <x:color rgb="FFFFFFFF"/>
      <x:name val="Yu Gothic"/>
    </x:font>
    <x:font>
      <x:sz val="10"/>
      <x:color rgb="FF687988"/>
      <x:name val="Yu Gothic"/>
    </x:font>
  </x:fonts>
  <x:fills count="13">
    <x:fill>
      <x:patternFill patternType="none"/>
    </x:fill>
    <x:fill>
      <x:patternFill patternType="gray125"/>
    </x:fill>
    <x:fill>
      <x:patternFill patternType="solid">
        <x:fgColor rgb="FFF4F6F8"/>
      </x:patternFill>
    </x:fill>
    <x:fill>
      <x:patternFill patternType="solid">
        <x:fgColor rgb="FFE4F5EE"/>
      </x:patternFill>
    </x:fill>
    <x:fill>
      <x:patternFill patternType="solid">
        <x:fgColor rgb="FFFFFFFF"/>
      </x:patternFill>
    </x:fill>
    <x:fill>
      <x:patternFill patternType="solid">
        <x:fgColor rgb="FFE8EEFF"/>
      </x:patternFill>
    </x:fill>
    <x:fill>
      <x:patternFill patternType="solid">
        <x:fgColor rgb="FFFDEDDC"/>
      </x:patternFill>
    </x:fill>
    <x:fill>
      <x:patternFill patternType="solid">
        <x:fgColor rgb="FFF0E9FC"/>
      </x:patternFill>
    </x:fill>
    <x:fill>
      <x:patternFill patternType="solid">
        <x:fgColor rgb="FFFBE7EC"/>
      </x:patternFill>
    </x:fill>
    <x:fill>
      <x:patternFill patternType="solid">
        <x:fgColor rgb="FFE0F2F5"/>
      </x:patternFill>
    </x:fill>
    <x:fill>
      <x:patternFill patternType="solid">
        <x:fgColor rgb="FFFFF5D9"/>
      </x:patternFill>
    </x:fill>
    <x:fill>
      <x:patternFill patternType="solid">
        <x:fgColor rgb="FF334D61"/>
      </x:patternFill>
    </x:fill>
    <x:fill>
      <x:patternFill patternType="solid">
        <x:fgColor rgb="FFFFF8E7"/>
      </x:patternFill>
    </x:fill>
  </x:fills>
  <x:borders count="1">
    <x:border/>
  </x:borders>
  <x:cellStyleXfs count="1">
    <x:xf numFmtId="0" fontId="0" fillId="0" borderId="0"/>
  </x:cellStyleXfs>
  <x:cellXfs count="10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0"/>
    </x:xf>
    <x:xf numFmtId="0" fontId="2" fillId="2" borderId="0" xfId="0" applyNumberFormat="1" applyFont="1" applyFill="1" applyBorder="1" applyAlignment="1">
      <x:alignment horizontal="left" vertical="center" wrapText="0"/>
    </x:xf>
    <x:xf numFmtId="0" fontId="3" fillId="2" borderId="0" xfId="0" applyNumberFormat="1" applyFont="1" applyFill="1" applyBorder="1" applyAlignment="1">
      <x:alignment vertical="center"/>
    </x:xf>
    <x:xf numFmtId="0" fontId="3" fillId="2" borderId="0" xfId="0" applyNumberFormat="1" applyFont="1" applyFill="1" applyBorder="1" applyAlignment="1">
      <x:alignment vertical="center" wrapText="0"/>
    </x:xf>
    <x:xf numFmtId="0" fontId="3" fillId="2" borderId="0" xfId="0" applyNumberFormat="1" applyFont="1" applyFill="1" applyBorder="1" applyAlignment="1">
      <x:alignment horizontal="left" vertical="center" wrapText="0"/>
    </x:xf>
    <x:xf numFmtId="0" fontId="4" fillId="2" borderId="0" xfId="0" applyNumberFormat="1" applyFont="1" applyFill="1" applyBorder="1" applyAlignment="1">
      <x:alignment vertical="center"/>
    </x:xf>
    <x:xf numFmtId="0" fontId="4" fillId="2" borderId="0" xfId="0" applyNumberFormat="1" applyFont="1" applyFill="1" applyBorder="1" applyAlignment="1">
      <x:alignment vertical="center" wrapText="0"/>
    </x:xf>
    <x:xf numFmtId="0" fontId="4" fillId="2" borderId="0" xfId="0" applyNumberFormat="1" applyFont="1" applyFill="1" applyBorder="1" applyAlignment="1">
      <x:alignment horizontal="center" vertical="center" wrapText="0"/>
    </x:xf>
    <x:xf numFmtId="0" fontId="4" fillId="3" borderId="0" xfId="0" applyNumberFormat="1" applyFont="1" applyFill="1" applyBorder="1" applyAlignment="1">
      <x:alignment horizontal="center" vertical="center" wrapText="0"/>
    </x:xf>
    <x:xf numFmtId="0" fontId="5" fillId="2" borderId="0" xfId="0" applyNumberFormat="1" applyFont="1" applyFill="1" applyBorder="1" applyAlignment="1">
      <x:alignment vertical="center"/>
    </x:xf>
    <x:xf numFmtId="0" fontId="5" fillId="2" borderId="0" xfId="0" applyNumberFormat="1" applyFont="1" applyFill="1" applyBorder="1" applyAlignment="1">
      <x:alignment vertical="center" wrapText="0"/>
    </x:xf>
    <x:xf numFmtId="0" fontId="5" fillId="2" borderId="0" xfId="0" applyNumberFormat="1" applyFont="1" applyFill="1" applyBorder="1" applyAlignment="1">
      <x:alignment horizontal="right" vertical="center" wrapText="0"/>
    </x:xf>
    <x:xf numFmtId="0" fontId="6" fillId="2" borderId="0" xfId="0" applyNumberFormat="1" applyFont="1" applyFill="1" applyBorder="1" applyAlignment="1">
      <x:alignment vertical="center"/>
    </x:xf>
    <x:xf numFmtId="0" fontId="6" fillId="2" borderId="0" xfId="0" applyNumberFormat="1" applyFont="1" applyFill="1" applyBorder="1" applyAlignment="1">
      <x:alignment vertical="center" wrapText="0"/>
    </x:xf>
    <x:xf numFmtId="0" fontId="6" fillId="2" borderId="0" xfId="0" applyNumberFormat="1" applyFont="1" applyFill="1" applyBorder="1" applyAlignment="1">
      <x:alignment horizontal="left" vertical="center" wrapText="0"/>
    </x:xf>
    <x:xf numFmtId="0" fontId="7" fillId="2" borderId="0" xfId="0" applyNumberFormat="1" applyFont="1" applyFill="1" applyBorder="1" applyAlignment="1">
      <x:alignment vertical="center"/>
    </x:xf>
    <x:xf numFmtId="0" fontId="7" fillId="2" borderId="0" xfId="0" applyNumberFormat="1" applyFont="1" applyFill="1" applyBorder="1" applyAlignment="1">
      <x:alignment vertical="center" wrapText="0"/>
    </x:xf>
    <x:xf numFmtId="0" fontId="7" fillId="2" borderId="0" xfId="0" applyNumberFormat="1" applyFont="1" applyFill="1" applyBorder="1" applyAlignment="1">
      <x:alignment horizontal="right" vertical="center" wrapText="0"/>
    </x:xf>
    <x:xf numFmtId="0" fontId="8" fillId="2" borderId="0" xfId="0" applyNumberFormat="1" applyFont="1" applyFill="1" applyBorder="1" applyAlignment="1">
      <x:alignment vertical="center"/>
    </x:xf>
    <x:xf numFmtId="0" fontId="8" fillId="2" borderId="0" xfId="0" applyNumberFormat="1" applyFont="1" applyFill="1" applyBorder="1" applyAlignment="1">
      <x:alignment vertical="center" wrapText="0"/>
    </x:xf>
    <x:xf numFmtId="0" fontId="8" fillId="2" borderId="0" xfId="0" applyNumberFormat="1" applyFont="1" applyFill="1" applyBorder="1" applyAlignment="1">
      <x:alignment horizontal="left" vertical="center" wrapText="0"/>
    </x:xf>
    <x:xf numFmtId="0" fontId="9" fillId="2" borderId="0" xfId="0" applyNumberFormat="1" applyFont="1" applyFill="1" applyBorder="1" applyAlignment="1">
      <x:alignment vertical="center"/>
    </x:xf>
    <x:xf numFmtId="0" fontId="9" fillId="2" borderId="0" xfId="0" applyNumberFormat="1" applyFont="1" applyFill="1" applyBorder="1" applyAlignment="1">
      <x:alignment vertical="center" wrapText="1"/>
    </x:xf>
    <x:xf numFmtId="0" fontId="9" fillId="2" borderId="0" xfId="0" applyNumberFormat="1" applyFont="1" applyFill="1" applyBorder="1" applyAlignment="1">
      <x:alignment horizontal="left" vertical="center" wrapText="1"/>
    </x:xf>
    <x:xf numFmtId="0" fontId="1" fillId="4" borderId="0" xfId="0" applyNumberFormat="1" applyFont="1" applyFill="1" applyBorder="1" applyAlignment="1">
      <x:alignment vertical="center"/>
    </x:xf>
    <x:xf numFmtId="0" fontId="10" fillId="4" borderId="0" xfId="0" applyNumberFormat="1" applyFont="1" applyFill="1" applyBorder="1" applyAlignment="1">
      <x:alignment vertical="center"/>
    </x:xf>
    <x:xf numFmtId="0" fontId="10" fillId="4" borderId="0" xfId="0" applyNumberFormat="1" applyFont="1" applyFill="1" applyBorder="1" applyAlignment="1">
      <x:alignment vertical="center" wrapText="0"/>
    </x:xf>
    <x:xf numFmtId="0" fontId="10" fillId="4" borderId="0" xfId="0" applyNumberFormat="1" applyFont="1" applyFill="1" applyBorder="1" applyAlignment="1">
      <x:alignment horizontal="center" vertical="center" wrapText="0"/>
    </x:xf>
    <x:xf numFmtId="0" fontId="10" fillId="3" borderId="0" xfId="0" applyNumberFormat="1" applyFont="1" applyFill="1" applyBorder="1" applyAlignment="1">
      <x:alignment horizontal="center" vertical="center" wrapText="0"/>
    </x:xf>
    <x:xf numFmtId="0" fontId="11" fillId="4" borderId="0" xfId="0" applyNumberFormat="1" applyFont="1" applyFill="1" applyBorder="1" applyAlignment="1">
      <x:alignment vertical="center"/>
    </x:xf>
    <x:xf numFmtId="0" fontId="11" fillId="4" borderId="0" xfId="0" applyNumberFormat="1" applyFont="1" applyFill="1" applyBorder="1" applyAlignment="1">
      <x:alignment vertical="center" wrapText="0"/>
    </x:xf>
    <x:xf numFmtId="0" fontId="11" fillId="4" borderId="0" xfId="0" applyNumberFormat="1" applyFont="1" applyFill="1" applyBorder="1" applyAlignment="1">
      <x:alignment horizontal="left" vertical="center" wrapText="0"/>
    </x:xf>
    <x:xf numFmtId="0" fontId="12" fillId="4" borderId="0" xfId="0" applyNumberFormat="1" applyFont="1" applyFill="1" applyBorder="1" applyAlignment="1">
      <x:alignment vertical="center"/>
    </x:xf>
    <x:xf numFmtId="0" fontId="12" fillId="4" borderId="0" xfId="0" applyNumberFormat="1" applyFont="1" applyFill="1" applyBorder="1" applyAlignment="1">
      <x:alignment vertical="center" wrapText="1"/>
    </x:xf>
    <x:xf numFmtId="0" fontId="12" fillId="4" borderId="0" xfId="0" applyNumberFormat="1" applyFont="1" applyFill="1" applyBorder="1" applyAlignment="1">
      <x:alignment horizontal="left" vertical="center" wrapText="1"/>
    </x:xf>
    <x:xf numFmtId="0" fontId="7" fillId="4" borderId="0" xfId="0" applyNumberFormat="1" applyFont="1" applyFill="1" applyBorder="1" applyAlignment="1">
      <x:alignment vertical="center"/>
    </x:xf>
    <x:xf numFmtId="0" fontId="7" fillId="4" borderId="0" xfId="0" applyNumberFormat="1" applyFont="1" applyFill="1" applyBorder="1" applyAlignment="1">
      <x:alignment vertical="center" wrapText="1"/>
    </x:xf>
    <x:xf numFmtId="0" fontId="7" fillId="4" borderId="0" xfId="0" applyNumberFormat="1" applyFont="1" applyFill="1" applyBorder="1" applyAlignment="1">
      <x:alignment horizontal="left" vertical="center" wrapText="1"/>
    </x:xf>
    <x:xf numFmtId="0" fontId="13" fillId="4" borderId="0" xfId="0" applyNumberFormat="1" applyFont="1" applyFill="1" applyBorder="1" applyAlignment="1">
      <x:alignment vertical="center"/>
    </x:xf>
    <x:xf numFmtId="0" fontId="13" fillId="4" borderId="0" xfId="0" applyNumberFormat="1" applyFont="1" applyFill="1" applyBorder="1" applyAlignment="1">
      <x:alignment vertical="center" wrapText="0"/>
    </x:xf>
    <x:xf numFmtId="0" fontId="13" fillId="4" borderId="0" xfId="0" applyNumberFormat="1" applyFont="1" applyFill="1" applyBorder="1" applyAlignment="1">
      <x:alignment horizontal="center" vertical="center" wrapText="0"/>
    </x:xf>
    <x:xf numFmtId="0" fontId="14" fillId="4" borderId="0" xfId="0" applyNumberFormat="1" applyFont="1" applyFill="1" applyBorder="1" applyAlignment="1">
      <x:alignment vertical="center"/>
    </x:xf>
    <x:xf numFmtId="0" fontId="14" fillId="4" borderId="0" xfId="0" applyNumberFormat="1" applyFont="1" applyFill="1" applyBorder="1" applyAlignment="1">
      <x:alignment vertical="center" wrapText="0"/>
    </x:xf>
    <x:xf numFmtId="0" fontId="14" fillId="4" borderId="0" xfId="0" applyNumberFormat="1" applyFont="1" applyFill="1" applyBorder="1" applyAlignment="1">
      <x:alignment horizontal="center" vertical="center" wrapText="0"/>
    </x:xf>
    <x:xf numFmtId="0" fontId="14" fillId="5" borderId="0" xfId="0" applyNumberFormat="1" applyFont="1" applyFill="1" applyBorder="1" applyAlignment="1">
      <x:alignment horizontal="center" vertical="center" wrapText="0"/>
    </x:xf>
    <x:xf numFmtId="0" fontId="15" fillId="4" borderId="0" xfId="0" applyNumberFormat="1" applyFont="1" applyFill="1" applyBorder="1" applyAlignment="1">
      <x:alignment vertical="center"/>
    </x:xf>
    <x:xf numFmtId="0" fontId="15" fillId="4" borderId="0" xfId="0" applyNumberFormat="1" applyFont="1" applyFill="1" applyBorder="1" applyAlignment="1">
      <x:alignment vertical="center" wrapText="0"/>
    </x:xf>
    <x:xf numFmtId="0" fontId="15" fillId="4" borderId="0" xfId="0" applyNumberFormat="1" applyFont="1" applyFill="1" applyBorder="1" applyAlignment="1">
      <x:alignment horizontal="left" vertical="center" wrapText="0"/>
    </x:xf>
    <x:xf numFmtId="0" fontId="16" fillId="4" borderId="0" xfId="0" applyNumberFormat="1" applyFont="1" applyFill="1" applyBorder="1" applyAlignment="1">
      <x:alignment vertical="center"/>
    </x:xf>
    <x:xf numFmtId="0" fontId="16" fillId="4" borderId="0" xfId="0" applyNumberFormat="1" applyFont="1" applyFill="1" applyBorder="1" applyAlignment="1">
      <x:alignment vertical="center" wrapText="0"/>
    </x:xf>
    <x:xf numFmtId="0" fontId="16" fillId="4" borderId="0" xfId="0" applyNumberFormat="1" applyFont="1" applyFill="1" applyBorder="1" applyAlignment="1">
      <x:alignment horizontal="center" vertical="center" wrapText="0"/>
    </x:xf>
    <x:xf numFmtId="0" fontId="16" fillId="6" borderId="0" xfId="0" applyNumberFormat="1" applyFont="1" applyFill="1" applyBorder="1" applyAlignment="1">
      <x:alignment horizontal="center" vertical="center" wrapText="0"/>
    </x:xf>
    <x:xf numFmtId="0" fontId="17" fillId="4" borderId="0" xfId="0" applyNumberFormat="1" applyFont="1" applyFill="1" applyBorder="1" applyAlignment="1">
      <x:alignment vertical="center"/>
    </x:xf>
    <x:xf numFmtId="0" fontId="17" fillId="4" borderId="0" xfId="0" applyNumberFormat="1" applyFont="1" applyFill="1" applyBorder="1" applyAlignment="1">
      <x:alignment vertical="center" wrapText="0"/>
    </x:xf>
    <x:xf numFmtId="0" fontId="17" fillId="4" borderId="0" xfId="0" applyNumberFormat="1" applyFont="1" applyFill="1" applyBorder="1" applyAlignment="1">
      <x:alignment horizontal="left" vertical="center" wrapText="0"/>
    </x:xf>
    <x:xf numFmtId="0" fontId="18" fillId="4" borderId="0" xfId="0" applyNumberFormat="1" applyFont="1" applyFill="1" applyBorder="1" applyAlignment="1">
      <x:alignment vertical="center"/>
    </x:xf>
    <x:xf numFmtId="0" fontId="18" fillId="4" borderId="0" xfId="0" applyNumberFormat="1" applyFont="1" applyFill="1" applyBorder="1" applyAlignment="1">
      <x:alignment vertical="center" wrapText="0"/>
    </x:xf>
    <x:xf numFmtId="0" fontId="18" fillId="4" borderId="0" xfId="0" applyNumberFormat="1" applyFont="1" applyFill="1" applyBorder="1" applyAlignment="1">
      <x:alignment horizontal="center" vertical="center" wrapText="0"/>
    </x:xf>
    <x:xf numFmtId="0" fontId="18" fillId="7" borderId="0" xfId="0" applyNumberFormat="1" applyFont="1" applyFill="1" applyBorder="1" applyAlignment="1">
      <x:alignment horizontal="center" vertical="center" wrapText="0"/>
    </x:xf>
    <x:xf numFmtId="0" fontId="19" fillId="4" borderId="0" xfId="0" applyNumberFormat="1" applyFont="1" applyFill="1" applyBorder="1" applyAlignment="1">
      <x:alignment vertical="center"/>
    </x:xf>
    <x:xf numFmtId="0" fontId="19" fillId="4" borderId="0" xfId="0" applyNumberFormat="1" applyFont="1" applyFill="1" applyBorder="1" applyAlignment="1">
      <x:alignment vertical="center" wrapText="0"/>
    </x:xf>
    <x:xf numFmtId="0" fontId="19" fillId="4" borderId="0" xfId="0" applyNumberFormat="1" applyFont="1" applyFill="1" applyBorder="1" applyAlignment="1">
      <x:alignment horizontal="left" vertical="center" wrapText="0"/>
    </x:xf>
    <x:xf numFmtId="0" fontId="20" fillId="4" borderId="0" xfId="0" applyNumberFormat="1" applyFont="1" applyFill="1" applyBorder="1" applyAlignment="1">
      <x:alignment vertical="center"/>
    </x:xf>
    <x:xf numFmtId="0" fontId="20" fillId="4" borderId="0" xfId="0" applyNumberFormat="1" applyFont="1" applyFill="1" applyBorder="1" applyAlignment="1">
      <x:alignment vertical="center" wrapText="0"/>
    </x:xf>
    <x:xf numFmtId="0" fontId="20" fillId="4" borderId="0" xfId="0" applyNumberFormat="1" applyFont="1" applyFill="1" applyBorder="1" applyAlignment="1">
      <x:alignment horizontal="center" vertical="center" wrapText="0"/>
    </x:xf>
    <x:xf numFmtId="0" fontId="20" fillId="8" borderId="0" xfId="0" applyNumberFormat="1" applyFont="1" applyFill="1" applyBorder="1" applyAlignment="1">
      <x:alignment horizontal="center" vertical="center" wrapText="0"/>
    </x:xf>
    <x:xf numFmtId="0" fontId="21" fillId="4" borderId="0" xfId="0" applyNumberFormat="1" applyFont="1" applyFill="1" applyBorder="1" applyAlignment="1">
      <x:alignment vertical="center"/>
    </x:xf>
    <x:xf numFmtId="0" fontId="21" fillId="4" borderId="0" xfId="0" applyNumberFormat="1" applyFont="1" applyFill="1" applyBorder="1" applyAlignment="1">
      <x:alignment vertical="center" wrapText="0"/>
    </x:xf>
    <x:xf numFmtId="0" fontId="21" fillId="4" borderId="0" xfId="0" applyNumberFormat="1" applyFont="1" applyFill="1" applyBorder="1" applyAlignment="1">
      <x:alignment horizontal="left" vertical="center" wrapText="0"/>
    </x:xf>
    <x:xf numFmtId="0" fontId="22" fillId="4" borderId="0" xfId="0" applyNumberFormat="1" applyFont="1" applyFill="1" applyBorder="1" applyAlignment="1">
      <x:alignment vertical="center"/>
    </x:xf>
    <x:xf numFmtId="0" fontId="22" fillId="4" borderId="0" xfId="0" applyNumberFormat="1" applyFont="1" applyFill="1" applyBorder="1" applyAlignment="1">
      <x:alignment vertical="center" wrapText="0"/>
    </x:xf>
    <x:xf numFmtId="0" fontId="22" fillId="4" borderId="0" xfId="0" applyNumberFormat="1" applyFont="1" applyFill="1" applyBorder="1" applyAlignment="1">
      <x:alignment horizontal="center" vertical="center" wrapText="0"/>
    </x:xf>
    <x:xf numFmtId="0" fontId="22" fillId="9" borderId="0" xfId="0" applyNumberFormat="1" applyFont="1" applyFill="1" applyBorder="1" applyAlignment="1">
      <x:alignment horizontal="center" vertical="center" wrapText="0"/>
    </x:xf>
    <x:xf numFmtId="0" fontId="23" fillId="4" borderId="0" xfId="0" applyNumberFormat="1" applyFont="1" applyFill="1" applyBorder="1" applyAlignment="1">
      <x:alignment vertical="center"/>
    </x:xf>
    <x:xf numFmtId="0" fontId="23" fillId="4" borderId="0" xfId="0" applyNumberFormat="1" applyFont="1" applyFill="1" applyBorder="1" applyAlignment="1">
      <x:alignment vertical="center" wrapText="0"/>
    </x:xf>
    <x:xf numFmtId="0" fontId="23" fillId="4" borderId="0" xfId="0" applyNumberFormat="1" applyFont="1" applyFill="1" applyBorder="1" applyAlignment="1">
      <x:alignment horizontal="left" vertical="center" wrapText="0"/>
    </x:xf>
    <x:xf numFmtId="0" fontId="0" fillId="4" borderId="0" xfId="0" applyNumberFormat="1" applyFont="1" applyFill="1" applyBorder="1"/>
    <x:xf numFmtId="0" fontId="24" fillId="4" borderId="0" xfId="0" applyNumberFormat="1" applyFont="1" applyFill="1" applyBorder="1"/>
    <x:xf numFmtId="0" fontId="24" fillId="4" borderId="0" xfId="0" applyNumberFormat="1" applyFont="1" applyFill="1" applyBorder="1" applyAlignment="1">
      <x:alignment vertical="center"/>
    </x:xf>
    <x:xf numFmtId="0" fontId="25" fillId="4" borderId="0" xfId="0" applyNumberFormat="1" applyFont="1" applyFill="1" applyBorder="1" applyAlignment="1">
      <x:alignment vertical="center"/>
    </x:xf>
    <x:xf numFmtId="0" fontId="25" fillId="4" borderId="0" xfId="0" applyNumberFormat="1" applyFont="1" applyFill="1" applyBorder="1" applyAlignment="1">
      <x:alignment vertical="center" wrapText="0"/>
    </x:xf>
    <x:xf numFmtId="0" fontId="25" fillId="4" borderId="0" xfId="0" applyNumberFormat="1" applyFont="1" applyFill="1" applyBorder="1" applyAlignment="1">
      <x:alignment horizontal="left" vertical="center" wrapText="0"/>
    </x:xf>
    <x:xf numFmtId="0" fontId="11" fillId="4" borderId="0" xfId="0" applyNumberFormat="1" applyFont="1" applyFill="1" applyBorder="1" applyAlignment="1">
      <x:alignment horizontal="center" vertical="center" wrapText="0"/>
    </x:xf>
    <x:xf numFmtId="0" fontId="5" fillId="4" borderId="0" xfId="0" applyNumberFormat="1" applyFont="1" applyFill="1" applyBorder="1" applyAlignment="1">
      <x:alignment vertical="center"/>
    </x:xf>
    <x:xf numFmtId="0" fontId="5" fillId="4" borderId="0" xfId="0" applyNumberFormat="1" applyFont="1" applyFill="1" applyBorder="1" applyAlignment="1">
      <x:alignment vertical="center" wrapText="0"/>
    </x:xf>
    <x:xf numFmtId="0" fontId="5" fillId="4" borderId="0" xfId="0" applyNumberFormat="1" applyFont="1" applyFill="1" applyBorder="1" applyAlignment="1">
      <x:alignment horizontal="left" vertical="center" wrapText="0"/>
    </x:xf>
    <x:xf numFmtId="0" fontId="26" fillId="4" borderId="0" xfId="0" applyNumberFormat="1" applyFont="1" applyFill="1" applyBorder="1" applyAlignment="1">
      <x:alignment vertical="center"/>
    </x:xf>
    <x:xf numFmtId="0" fontId="26" fillId="4" borderId="0" xfId="0" applyNumberFormat="1" applyFont="1" applyFill="1" applyBorder="1" applyAlignment="1">
      <x:alignment vertical="center" wrapText="1"/>
    </x:xf>
    <x:xf numFmtId="0" fontId="26" fillId="4" borderId="0" xfId="0" applyNumberFormat="1" applyFont="1" applyFill="1" applyBorder="1" applyAlignment="1">
      <x:alignment horizontal="left" vertical="center" wrapText="1"/>
    </x:xf>
    <x:xf numFmtId="0" fontId="26" fillId="10" borderId="0" xfId="0" applyNumberFormat="1" applyFont="1" applyFill="1" applyBorder="1" applyAlignment="1">
      <x:alignment horizontal="left" vertical="center" wrapText="1"/>
    </x:xf>
    <x:xf numFmtId="0" fontId="27" fillId="4" borderId="0" xfId="0" applyNumberFormat="1" applyFont="1" applyFill="1" applyBorder="1" applyAlignment="1">
      <x:alignment vertical="center"/>
    </x:xf>
    <x:xf numFmtId="0" fontId="27" fillId="4" borderId="0" xfId="0" applyNumberFormat="1" applyFont="1" applyFill="1" applyBorder="1" applyAlignment="1">
      <x:alignment vertical="center" wrapText="0"/>
    </x:xf>
    <x:xf numFmtId="0" fontId="27" fillId="4" borderId="0" xfId="0" applyNumberFormat="1" applyFont="1" applyFill="1" applyBorder="1" applyAlignment="1">
      <x:alignment horizontal="left" vertical="center" wrapText="0"/>
    </x:xf>
    <x:xf numFmtId="0" fontId="27" fillId="10" borderId="0" xfId="0" applyNumberFormat="1" applyFont="1" applyFill="1" applyBorder="1" applyAlignment="1">
      <x:alignment horizontal="left" vertical="center" wrapText="0"/>
    </x:xf>
    <x:xf numFmtId="0" fontId="24" fillId="11" borderId="0" xfId="0" applyNumberFormat="1" applyFont="1" applyFill="1" applyBorder="1" applyAlignment="1">
      <x:alignment vertical="center"/>
    </x:xf>
    <x:xf numFmtId="0" fontId="28" fillId="11" borderId="0" xfId="0" applyNumberFormat="1" applyFont="1" applyFill="1" applyBorder="1" applyAlignment="1">
      <x:alignment vertical="center"/>
    </x:xf>
    <x:xf numFmtId="0" fontId="28" fillId="11" borderId="0" xfId="0" applyNumberFormat="1" applyFont="1" applyFill="1" applyBorder="1" applyAlignment="1">
      <x:alignment horizontal="center" vertical="center"/>
    </x:xf>
    <x:xf numFmtId="0" fontId="24" fillId="12" borderId="0" xfId="0" applyNumberFormat="1" applyFont="1" applyFill="1" applyBorder="1" applyAlignment="1">
      <x:alignment vertical="center"/>
    </x:xf>
    <x:xf numFmtId="0" fontId="24" fillId="12" borderId="0" xfId="0" applyNumberFormat="1" applyFont="1" applyFill="1" applyBorder="1" applyAlignment="1">
      <x:alignment vertical="center" wrapText="1"/>
    </x:xf>
    <x:xf numFmtId="0" fontId="24" fillId="4" borderId="0" xfId="0" applyNumberFormat="1" applyFont="1" applyFill="1" applyBorder="1" applyAlignment="1">
      <x:alignment horizontal="center" vertical="center"/>
    </x:xf>
    <x:xf numFmtId="0" fontId="24" fillId="12" borderId="0" xfId="0" applyNumberFormat="1" applyFont="1" applyFill="1" applyBorder="1" applyAlignment="1">
      <x:alignment horizontal="center" vertical="center"/>
    </x:xf>
    <x:xf numFmtId="0" fontId="29" fillId="4" borderId="0" xfId="0" applyNumberFormat="1" applyFont="1" applyFill="1" applyBorder="1" applyAlignment="1">
      <x:alignment vertical="center"/>
    </x:xf>
    <x:xf numFmtId="0" fontId="29" fillId="4" borderId="0" xfId="0" applyNumberFormat="1" applyFont="1" applyFill="1" applyBorder="1" applyAlignment="1">
      <x:alignment vertical="center" wrapText="0"/>
    </x:xf>
    <x:xf numFmtId="0" fontId="29" fillId="4" borderId="0" xfId="0" applyNumberFormat="1" applyFont="1" applyFill="1" applyBorder="1" applyAlignment="1">
      <x:alignment horizontal="left" vertical="center" wrapText="0"/>
    </x:xf>
  </x:cellXfs>
  <x:cellStyles count="1">
    <x:cellStyle name="Normal" xfId="0"/>
  </x:cellStyles>
  <x:dxfs count="72">
    <x:dxf>
      <x:fill>
        <x:patternFill patternType="solid">
          <x:bgColor rgb="FFF4F6F8"/>
        </x:patternFill>
      </x:fill>
    </x:dxf>
    <x:dxf>
      <x:font>
        <x:b/>
        <x:color rgb="FFFFFFFF"/>
      </x:font>
      <x:fill>
        <x:patternFill patternType="solid">
          <x:bgColor rgb="FF227A60"/>
        </x:patternFill>
      </x:fill>
    </x:dxf>
    <x:dxf>
      <x:font>
        <x:b/>
        <x:color rgb="FF70808D"/>
      </x:font>
      <x:fill>
        <x:patternFill patternType="solid">
          <x:bgColor rgb="FFEDF0F3"/>
        </x:patternFill>
      </x:fill>
    </x:dxf>
    <x:dxf>
      <x:fill>
        <x:patternFill patternType="solid">
          <x:bgColor rgb="FFF4F6F8"/>
        </x:patternFill>
      </x:fill>
    </x:dxf>
    <x:dxf>
      <x:font>
        <x:b/>
        <x:color rgb="FFFFFFFF"/>
      </x:font>
      <x:fill>
        <x:patternFill patternType="solid">
          <x:bgColor rgb="FF4F64AC"/>
        </x:patternFill>
      </x:fill>
    </x:dxf>
    <x:dxf>
      <x:font>
        <x:b/>
        <x:color rgb="FF70808D"/>
      </x:font>
      <x:fill>
        <x:patternFill patternType="solid">
          <x:bgColor rgb="FFEDF0F3"/>
        </x:patternFill>
      </x:fill>
    </x:dxf>
    <x:dxf>
      <x:fill>
        <x:patternFill patternType="solid">
          <x:bgColor rgb="FFF4F6F8"/>
        </x:patternFill>
      </x:fill>
    </x:dxf>
    <x:dxf>
      <x:font>
        <x:b/>
        <x:color rgb="FFFFFFFF"/>
      </x:font>
      <x:fill>
        <x:patternFill patternType="solid">
          <x:bgColor rgb="FFAC6329"/>
        </x:patternFill>
      </x:fill>
    </x:dxf>
    <x:dxf>
      <x:font>
        <x:b/>
        <x:color rgb="FF70808D"/>
      </x:font>
      <x:fill>
        <x:patternFill patternType="solid">
          <x:bgColor rgb="FFEDF0F3"/>
        </x:patternFill>
      </x:fill>
    </x:dxf>
    <x:dxf>
      <x:fill>
        <x:patternFill patternType="solid">
          <x:bgColor rgb="FFF4F6F8"/>
        </x:patternFill>
      </x:fill>
    </x:dxf>
    <x:dxf>
      <x:font>
        <x:b/>
        <x:color rgb="FFFFFFFF"/>
      </x:font>
      <x:fill>
        <x:patternFill patternType="solid">
          <x:bgColor rgb="FF8060AB"/>
        </x:patternFill>
      </x:fill>
    </x:dxf>
    <x:dxf>
      <x:font>
        <x:b/>
        <x:color rgb="FF70808D"/>
      </x:font>
      <x:fill>
        <x:patternFill patternType="solid">
          <x:bgColor rgb="FFEDF0F3"/>
        </x:patternFill>
      </x:fill>
    </x:dxf>
    <x:dxf>
      <x:fill>
        <x:patternFill patternType="solid">
          <x:bgColor rgb="FFF4F6F8"/>
        </x:patternFill>
      </x:fill>
    </x:dxf>
    <x:dxf>
      <x:font>
        <x:b/>
        <x:color rgb="FFFFFFFF"/>
      </x:font>
      <x:fill>
        <x:patternFill patternType="solid">
          <x:bgColor rgb="FFA95372"/>
        </x:patternFill>
      </x:fill>
    </x:dxf>
    <x:dxf>
      <x:font>
        <x:b/>
        <x:color rgb="FF70808D"/>
      </x:font>
      <x:fill>
        <x:patternFill patternType="solid">
          <x:bgColor rgb="FFEDF0F3"/>
        </x:patternFill>
      </x:fill>
    </x:dxf>
    <x:dxf>
      <x:fill>
        <x:patternFill patternType="solid">
          <x:bgColor rgb="FFF4F6F8"/>
        </x:patternFill>
      </x:fill>
    </x:dxf>
    <x:dxf>
      <x:font>
        <x:b/>
        <x:color rgb="FFFFFFFF"/>
      </x:font>
      <x:fill>
        <x:patternFill patternType="solid">
          <x:bgColor rgb="FF327E89"/>
        </x:patternFill>
      </x:fill>
    </x:dxf>
    <x:dxf>
      <x:font>
        <x:b/>
        <x:color rgb="FF70808D"/>
      </x:font>
      <x:fill>
        <x:patternFill patternType="solid">
          <x:bgColor rgb="FFEDF0F3"/>
        </x:patternFill>
      </x:fill>
    </x:dxf>
    <x:dxf>
      <x:fill>
        <x:patternFill patternType="solid">
          <x:bgColor rgb="FFF4F6F8"/>
        </x:patternFill>
      </x:fill>
    </x:dxf>
    <x:dxf>
      <x:font>
        <x:b/>
        <x:color rgb="FFFFFFFF"/>
      </x:font>
      <x:fill>
        <x:patternFill patternType="solid">
          <x:bgColor rgb="FF227A60"/>
        </x:patternFill>
      </x:fill>
    </x:dxf>
    <x:dxf>
      <x:font>
        <x:b/>
        <x:color rgb="FF70808D"/>
      </x:font>
      <x:fill>
        <x:patternFill patternType="solid">
          <x:bgColor rgb="FFEDF0F3"/>
        </x:patternFill>
      </x:fill>
    </x:dxf>
    <x:dxf>
      <x:fill>
        <x:patternFill patternType="solid">
          <x:bgColor rgb="FFF4F6F8"/>
        </x:patternFill>
      </x:fill>
    </x:dxf>
    <x:dxf>
      <x:font>
        <x:b/>
        <x:color rgb="FFFFFFFF"/>
      </x:font>
      <x:fill>
        <x:patternFill patternType="solid">
          <x:bgColor rgb="FF4F64AC"/>
        </x:patternFill>
      </x:fill>
    </x:dxf>
    <x:dxf>
      <x:font>
        <x:b/>
        <x:color rgb="FF70808D"/>
      </x:font>
      <x:fill>
        <x:patternFill patternType="solid">
          <x:bgColor rgb="FFEDF0F3"/>
        </x:patternFill>
      </x:fill>
    </x:dxf>
    <x:dxf>
      <x:fill>
        <x:patternFill patternType="solid">
          <x:bgColor rgb="FFF4F6F8"/>
        </x:patternFill>
      </x:fill>
    </x:dxf>
    <x:dxf>
      <x:font>
        <x:b/>
        <x:color rgb="FFFFFFFF"/>
      </x:font>
      <x:fill>
        <x:patternFill patternType="solid">
          <x:bgColor rgb="FFAC6329"/>
        </x:patternFill>
      </x:fill>
    </x:dxf>
    <x:dxf>
      <x:font>
        <x:b/>
        <x:color rgb="FF70808D"/>
      </x:font>
      <x:fill>
        <x:patternFill patternType="solid">
          <x:bgColor rgb="FFEDF0F3"/>
        </x:patternFill>
      </x:fill>
    </x:dxf>
    <x:dxf>
      <x:fill>
        <x:patternFill patternType="solid">
          <x:bgColor rgb="FFF4F6F8"/>
        </x:patternFill>
      </x:fill>
    </x:dxf>
    <x:dxf>
      <x:font>
        <x:b/>
        <x:color rgb="FFFFFFFF"/>
      </x:font>
      <x:fill>
        <x:patternFill patternType="solid">
          <x:bgColor rgb="FF8060AB"/>
        </x:patternFill>
      </x:fill>
    </x:dxf>
    <x:dxf>
      <x:font>
        <x:b/>
        <x:color rgb="FF70808D"/>
      </x:font>
      <x:fill>
        <x:patternFill patternType="solid">
          <x:bgColor rgb="FFEDF0F3"/>
        </x:patternFill>
      </x:fill>
    </x:dxf>
    <x:dxf>
      <x:fill>
        <x:patternFill patternType="solid">
          <x:bgColor rgb="FFF4F6F8"/>
        </x:patternFill>
      </x:fill>
    </x:dxf>
    <x:dxf>
      <x:font>
        <x:b/>
        <x:color rgb="FFFFFFFF"/>
      </x:font>
      <x:fill>
        <x:patternFill patternType="solid">
          <x:bgColor rgb="FFA95372"/>
        </x:patternFill>
      </x:fill>
    </x:dxf>
    <x:dxf>
      <x:font>
        <x:b/>
        <x:color rgb="FF70808D"/>
      </x:font>
      <x:fill>
        <x:patternFill patternType="solid">
          <x:bgColor rgb="FFEDF0F3"/>
        </x:patternFill>
      </x:fill>
    </x:dxf>
    <x:dxf>
      <x:fill>
        <x:patternFill patternType="solid">
          <x:bgColor rgb="FFF4F6F8"/>
        </x:patternFill>
      </x:fill>
    </x:dxf>
    <x:dxf>
      <x:font>
        <x:b/>
        <x:color rgb="FFFFFFFF"/>
      </x:font>
      <x:fill>
        <x:patternFill patternType="solid">
          <x:bgColor rgb="FF327E89"/>
        </x:patternFill>
      </x:fill>
    </x:dxf>
    <x:dxf>
      <x:font>
        <x:b/>
        <x:color rgb="FF70808D"/>
      </x:font>
      <x:fill>
        <x:patternFill patternType="solid">
          <x:bgColor rgb="FFEDF0F3"/>
        </x:patternFill>
      </x:fill>
    </x:dxf>
    <x:dxf>
      <x:fill>
        <x:patternFill patternType="solid">
          <x:bgColor rgb="FFF4F6F8"/>
        </x:patternFill>
      </x:fill>
    </x:dxf>
    <x:dxf>
      <x:font>
        <x:b/>
        <x:color rgb="FFFFFFFF"/>
      </x:font>
      <x:fill>
        <x:patternFill patternType="solid">
          <x:bgColor rgb="FF227A60"/>
        </x:patternFill>
      </x:fill>
    </x:dxf>
    <x:dxf>
      <x:font>
        <x:b/>
        <x:color rgb="FF70808D"/>
      </x:font>
      <x:fill>
        <x:patternFill patternType="solid">
          <x:bgColor rgb="FFEDF0F3"/>
        </x:patternFill>
      </x:fill>
    </x:dxf>
    <x:dxf>
      <x:fill>
        <x:patternFill patternType="solid">
          <x:bgColor rgb="FFF4F6F8"/>
        </x:patternFill>
      </x:fill>
    </x:dxf>
    <x:dxf>
      <x:font>
        <x:b/>
        <x:color rgb="FFFFFFFF"/>
      </x:font>
      <x:fill>
        <x:patternFill patternType="solid">
          <x:bgColor rgb="FF4F64AC"/>
        </x:patternFill>
      </x:fill>
    </x:dxf>
    <x:dxf>
      <x:font>
        <x:b/>
        <x:color rgb="FF70808D"/>
      </x:font>
      <x:fill>
        <x:patternFill patternType="solid">
          <x:bgColor rgb="FFEDF0F3"/>
        </x:patternFill>
      </x:fill>
    </x:dxf>
    <x:dxf>
      <x:fill>
        <x:patternFill patternType="solid">
          <x:bgColor rgb="FFF4F6F8"/>
        </x:patternFill>
      </x:fill>
    </x:dxf>
    <x:dxf>
      <x:font>
        <x:b/>
        <x:color rgb="FFFFFFFF"/>
      </x:font>
      <x:fill>
        <x:patternFill patternType="solid">
          <x:bgColor rgb="FFAC6329"/>
        </x:patternFill>
      </x:fill>
    </x:dxf>
    <x:dxf>
      <x:font>
        <x:b/>
        <x:color rgb="FF70808D"/>
      </x:font>
      <x:fill>
        <x:patternFill patternType="solid">
          <x:bgColor rgb="FFEDF0F3"/>
        </x:patternFill>
      </x:fill>
    </x:dxf>
    <x:dxf>
      <x:fill>
        <x:patternFill patternType="solid">
          <x:bgColor rgb="FFF4F6F8"/>
        </x:patternFill>
      </x:fill>
    </x:dxf>
    <x:dxf>
      <x:font>
        <x:b/>
        <x:color rgb="FFFFFFFF"/>
      </x:font>
      <x:fill>
        <x:patternFill patternType="solid">
          <x:bgColor rgb="FF8060AB"/>
        </x:patternFill>
      </x:fill>
    </x:dxf>
    <x:dxf>
      <x:font>
        <x:b/>
        <x:color rgb="FF70808D"/>
      </x:font>
      <x:fill>
        <x:patternFill patternType="solid">
          <x:bgColor rgb="FFEDF0F3"/>
        </x:patternFill>
      </x:fill>
    </x:dxf>
    <x:dxf>
      <x:fill>
        <x:patternFill patternType="solid">
          <x:bgColor rgb="FFF4F6F8"/>
        </x:patternFill>
      </x:fill>
    </x:dxf>
    <x:dxf>
      <x:font>
        <x:b/>
        <x:color rgb="FFFFFFFF"/>
      </x:font>
      <x:fill>
        <x:patternFill patternType="solid">
          <x:bgColor rgb="FFA95372"/>
        </x:patternFill>
      </x:fill>
    </x:dxf>
    <x:dxf>
      <x:font>
        <x:b/>
        <x:color rgb="FF70808D"/>
      </x:font>
      <x:fill>
        <x:patternFill patternType="solid">
          <x:bgColor rgb="FFEDF0F3"/>
        </x:patternFill>
      </x:fill>
    </x:dxf>
    <x:dxf>
      <x:fill>
        <x:patternFill patternType="solid">
          <x:bgColor rgb="FFF4F6F8"/>
        </x:patternFill>
      </x:fill>
    </x:dxf>
    <x:dxf>
      <x:font>
        <x:b/>
        <x:color rgb="FFFFFFFF"/>
      </x:font>
      <x:fill>
        <x:patternFill patternType="solid">
          <x:bgColor rgb="FF327E89"/>
        </x:patternFill>
      </x:fill>
    </x:dxf>
    <x:dxf>
      <x:font>
        <x:b/>
        <x:color rgb="FF70808D"/>
      </x:font>
      <x:fill>
        <x:patternFill patternType="solid">
          <x:bgColor rgb="FFEDF0F3"/>
        </x:patternFill>
      </x:fill>
    </x:dxf>
    <x:dxf>
      <x:fill>
        <x:patternFill patternType="solid">
          <x:bgColor rgb="FFF4F6F8"/>
        </x:patternFill>
      </x:fill>
    </x:dxf>
    <x:dxf>
      <x:font>
        <x:b/>
        <x:color rgb="FFFFFFFF"/>
      </x:font>
      <x:fill>
        <x:patternFill patternType="solid">
          <x:bgColor rgb="FF227A60"/>
        </x:patternFill>
      </x:fill>
    </x:dxf>
    <x:dxf>
      <x:font>
        <x:b/>
        <x:color rgb="FF70808D"/>
      </x:font>
      <x:fill>
        <x:patternFill patternType="solid">
          <x:bgColor rgb="FFEDF0F3"/>
        </x:patternFill>
      </x:fill>
    </x:dxf>
    <x:dxf>
      <x:fill>
        <x:patternFill patternType="solid">
          <x:bgColor rgb="FFF4F6F8"/>
        </x:patternFill>
      </x:fill>
    </x:dxf>
    <x:dxf>
      <x:font>
        <x:b/>
        <x:color rgb="FFFFFFFF"/>
      </x:font>
      <x:fill>
        <x:patternFill patternType="solid">
          <x:bgColor rgb="FF4F64AC"/>
        </x:patternFill>
      </x:fill>
    </x:dxf>
    <x:dxf>
      <x:font>
        <x:b/>
        <x:color rgb="FF70808D"/>
      </x:font>
      <x:fill>
        <x:patternFill patternType="solid">
          <x:bgColor rgb="FFEDF0F3"/>
        </x:patternFill>
      </x:fill>
    </x:dxf>
    <x:dxf>
      <x:fill>
        <x:patternFill patternType="solid">
          <x:bgColor rgb="FFF4F6F8"/>
        </x:patternFill>
      </x:fill>
    </x:dxf>
    <x:dxf>
      <x:font>
        <x:b/>
        <x:color rgb="FFFFFFFF"/>
      </x:font>
      <x:fill>
        <x:patternFill patternType="solid">
          <x:bgColor rgb="FFAC6329"/>
        </x:patternFill>
      </x:fill>
    </x:dxf>
    <x:dxf>
      <x:font>
        <x:b/>
        <x:color rgb="FF70808D"/>
      </x:font>
      <x:fill>
        <x:patternFill patternType="solid">
          <x:bgColor rgb="FFEDF0F3"/>
        </x:patternFill>
      </x:fill>
    </x:dxf>
    <x:dxf>
      <x:fill>
        <x:patternFill patternType="solid">
          <x:bgColor rgb="FFF4F6F8"/>
        </x:patternFill>
      </x:fill>
    </x:dxf>
    <x:dxf>
      <x:font>
        <x:b/>
        <x:color rgb="FFFFFFFF"/>
      </x:font>
      <x:fill>
        <x:patternFill patternType="solid">
          <x:bgColor rgb="FF8060AB"/>
        </x:patternFill>
      </x:fill>
    </x:dxf>
    <x:dxf>
      <x:font>
        <x:b/>
        <x:color rgb="FF70808D"/>
      </x:font>
      <x:fill>
        <x:patternFill patternType="solid">
          <x:bgColor rgb="FFEDF0F3"/>
        </x:patternFill>
      </x:fill>
    </x:dxf>
    <x:dxf>
      <x:fill>
        <x:patternFill patternType="solid">
          <x:bgColor rgb="FFF4F6F8"/>
        </x:patternFill>
      </x:fill>
    </x:dxf>
    <x:dxf>
      <x:font>
        <x:b/>
        <x:color rgb="FFFFFFFF"/>
      </x:font>
      <x:fill>
        <x:patternFill patternType="solid">
          <x:bgColor rgb="FFA95372"/>
        </x:patternFill>
      </x:fill>
    </x:dxf>
    <x:dxf>
      <x:font>
        <x:b/>
        <x:color rgb="FF70808D"/>
      </x:font>
      <x:fill>
        <x:patternFill patternType="solid">
          <x:bgColor rgb="FFEDF0F3"/>
        </x:patternFill>
      </x:fill>
    </x:dxf>
    <x:dxf>
      <x:fill>
        <x:patternFill patternType="solid">
          <x:bgColor rgb="FFF4F6F8"/>
        </x:patternFill>
      </x:fill>
    </x:dxf>
    <x:dxf>
      <x:font>
        <x:b/>
        <x:color rgb="FFFFFFFF"/>
      </x:font>
      <x:fill>
        <x:patternFill patternType="solid">
          <x:bgColor rgb="FF327E89"/>
        </x:patternFill>
      </x:fill>
    </x:dxf>
    <x:dxf>
      <x:font>
        <x:b/>
        <x:color rgb="FF70808D"/>
      </x:font>
      <x:fill>
        <x:patternFill patternType="solid">
          <x:bgColor rgb="FFEDF0F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7f98fbd646943a0" /><Relationship Type="http://schemas.openxmlformats.org/officeDocument/2006/relationships/theme" Target="/xl/theme/theme1.xml" Id="R717c547879474ab3" /><Relationship Type="http://schemas.openxmlformats.org/officeDocument/2006/relationships/sharedStrings" Target="/xl/sharedStrings.xml" Id="R7247b86605da43a3" /><Relationship Type="http://schemas.openxmlformats.org/officeDocument/2006/relationships/worksheet" Target="/xl/worksheets/sheet1.xml" Id="Rf44304460d8944cd" /><Relationship Type="http://schemas.openxmlformats.org/officeDocument/2006/relationships/worksheet" Target="/xl/worksheets/sheet2.xml" Id="R5b88d49f1b7e414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tabColor rgb="FF227A60"/>
  </sheetPr>
  <sheetViews>
    <sheetView showGridLines="0" workbookViewId="0" zoomScale="90" tabSelected="1" showRowColHeaders="0">
      <selection activeCell="AB1" sqref="AB1"/>
    </sheetView>
  </sheetViews>
  <sheetFormatPr defaultRowHeight="15"/>
  <cols>
    <col min="1" max="1" width="2.6700000762939453" hidden="0" customWidth="1"/>
    <col min="2" max="2" width="1.559999942779541" hidden="0" customWidth="1"/>
    <col min="3" max="3" width="6.21999979019165" hidden="0" customWidth="1"/>
    <col min="4" max="4" width="1.3300000429153442" hidden="0" customWidth="1"/>
    <col min="5" max="5" width="6.670000076293945" hidden="0" customWidth="1"/>
    <col min="6" max="6" width="6.670000076293945" hidden="0" customWidth="1"/>
    <col min="7" max="7" width="6.670000076293945" hidden="0" customWidth="1"/>
    <col min="8" max="8" width="6.670000076293945" hidden="0" customWidth="1"/>
    <col min="9" max="9" width="1.559999942779541" hidden="0" customWidth="1"/>
    <col min="10" max="10" width="2.2200000286102295" hidden="0" customWidth="1"/>
    <col min="11" max="11" width="1.559999942779541" hidden="0" customWidth="1"/>
    <col min="12" max="12" width="6.21999979019165" hidden="0" customWidth="1"/>
    <col min="13" max="13" width="1.3300000429153442" hidden="0" customWidth="1"/>
    <col min="14" max="14" width="6.670000076293945" hidden="0" customWidth="1"/>
    <col min="15" max="15" width="6.670000076293945" hidden="0" customWidth="1"/>
    <col min="16" max="16" width="6.670000076293945" hidden="0" customWidth="1"/>
    <col min="17" max="17" width="6.670000076293945" hidden="0" customWidth="1"/>
    <col min="18" max="18" width="1.559999942779541" hidden="0" customWidth="1"/>
    <col min="19" max="19" width="2.2200000286102295" hidden="0" customWidth="1"/>
    <col min="20" max="20" width="1.559999942779541" hidden="0" customWidth="1"/>
    <col min="21" max="21" width="6.21999979019165" hidden="0" customWidth="1"/>
    <col min="22" max="22" width="1.3300000429153442" hidden="0" customWidth="1"/>
    <col min="23" max="23" width="6.670000076293945" hidden="0" customWidth="1"/>
    <col min="24" max="24" width="6.670000076293945" hidden="0" customWidth="1"/>
    <col min="25" max="25" width="6.670000076293945" hidden="0" customWidth="1"/>
    <col min="26" max="26" width="6.670000076293945" hidden="0" customWidth="1"/>
    <col min="27" max="27" width="1.559999942779541" hidden="0" customWidth="1"/>
    <col min="28" max="28" width="2.6700000762939453" hidden="0" customWidth="1"/>
  </cols>
  <sheetData>
    <row r="1" ht="9" customHeight="1">
      <c r="A1" s="3"/>
      <c r="B1" s="3"/>
      <c r="C1" s="3"/>
      <c r="D1" s="3"/>
      <c r="E1" s="3"/>
      <c r="F1" s="3"/>
      <c r="G1" s="3"/>
      <c r="H1" s="3"/>
      <c r="I1" s="3"/>
      <c r="J1" s="3"/>
      <c r="K1" s="3"/>
      <c r="L1" s="3"/>
      <c r="M1" s="3"/>
      <c r="N1" s="3"/>
      <c r="O1" s="3"/>
      <c r="P1" s="3"/>
      <c r="Q1" s="3"/>
      <c r="R1" s="3"/>
      <c r="S1" s="3"/>
      <c r="T1" s="3"/>
      <c r="U1" s="3"/>
      <c r="V1" s="3"/>
      <c r="W1" s="3"/>
      <c r="X1" s="3"/>
      <c r="Y1" s="3"/>
      <c r="Z1" s="3"/>
      <c r="AA1" s="3"/>
      <c r="AB1" s="3"/>
    </row>
    <row r="2" ht="16.5" customHeight="1">
      <c r="A2" s="3"/>
      <c r="B2" s="6" t="str">
        <v>DX推進委員会</v>
      </c>
      <c r="C2" s="6"/>
      <c r="D2" s="6"/>
      <c r="E2" s="6"/>
      <c r="F2" s="6"/>
      <c r="G2" s="6"/>
      <c r="H2" s="6"/>
      <c r="I2" s="6"/>
      <c r="J2" s="3"/>
      <c r="K2" s="13" t="str">
        <f>IF('アプリ登録'!$C$8="","進め方・進行状況",HYPERLINK('アプリ登録'!$C$8,"進め方・進行状況を見る  ↗"))</f>
        <v>進め方・進行状況を見る  ↗</v>
      </c>
      <c r="L2" s="13"/>
      <c r="M2" s="13"/>
      <c r="N2" s="13"/>
      <c r="O2" s="13"/>
      <c r="P2" s="13"/>
      <c r="Q2" s="13"/>
      <c r="R2" s="13"/>
      <c r="S2" s="3"/>
      <c r="T2" s="3"/>
      <c r="U2" s="3"/>
      <c r="V2" s="3"/>
      <c r="W2" s="3"/>
      <c r="X2" s="3"/>
      <c r="Y2" s="3"/>
      <c r="Z2" s="3"/>
      <c r="AA2" s="3"/>
      <c r="AB2" s="3"/>
    </row>
    <row r="3" ht="28.5" customHeight="1">
      <c r="A3" s="3"/>
      <c r="B3" s="9" t="str">
        <v>DX アプリホーム</v>
      </c>
      <c r="C3" s="9"/>
      <c r="D3" s="9"/>
      <c r="E3" s="9"/>
      <c r="F3" s="9"/>
      <c r="G3" s="9"/>
      <c r="H3" s="9"/>
      <c r="I3" s="9"/>
      <c r="J3" s="3"/>
      <c r="K3" s="13"/>
      <c r="L3" s="13"/>
      <c r="M3" s="13"/>
      <c r="N3" s="13"/>
      <c r="O3" s="13"/>
      <c r="P3" s="13"/>
      <c r="Q3" s="13"/>
      <c r="R3" s="13"/>
      <c r="S3" s="3"/>
      <c r="T3" s="3"/>
      <c r="U3" s="16" t="str">
        <f>HYPERLINK("#'アプリ登録'!B2","アプリの登録・編集")</f>
        <v>アプリの登録・編集</v>
      </c>
      <c r="V3" s="16"/>
      <c r="W3" s="16"/>
      <c r="X3" s="16"/>
      <c r="Y3" s="16"/>
      <c r="Z3" s="16"/>
      <c r="AA3" s="16"/>
      <c r="AB3" s="3"/>
    </row>
    <row r="4" ht="9" customHeight="1">
      <c r="A4" s="3"/>
      <c r="B4" s="3"/>
      <c r="C4" s="3"/>
      <c r="D4" s="3"/>
      <c r="E4" s="3"/>
      <c r="F4" s="3"/>
      <c r="G4" s="3"/>
      <c r="H4" s="3"/>
      <c r="I4" s="3"/>
      <c r="J4" s="3"/>
      <c r="K4" s="3"/>
      <c r="L4" s="3"/>
      <c r="M4" s="3"/>
      <c r="N4" s="3"/>
      <c r="O4" s="3"/>
      <c r="P4" s="3"/>
      <c r="Q4" s="3"/>
      <c r="R4" s="3"/>
      <c r="S4" s="3"/>
      <c r="T4" s="3"/>
      <c r="U4" s="3"/>
      <c r="V4" s="3"/>
      <c r="W4" s="3"/>
      <c r="X4" s="3"/>
      <c r="Y4" s="3"/>
      <c r="Z4" s="3"/>
      <c r="AA4" s="3"/>
      <c r="AB4" s="3"/>
    </row>
    <row r="5" ht="22.5" customHeight="1">
      <c r="A5" s="3"/>
      <c r="B5" s="19" t="str">
        <v>使いたいアプリを選んでください</v>
      </c>
      <c r="C5" s="19"/>
      <c r="D5" s="19"/>
      <c r="E5" s="19"/>
      <c r="F5" s="19"/>
      <c r="G5" s="19"/>
      <c r="H5" s="19"/>
      <c r="I5" s="19"/>
      <c r="J5" s="19"/>
      <c r="K5" s="19"/>
      <c r="L5" s="19"/>
      <c r="M5" s="19"/>
      <c r="N5" s="19"/>
      <c r="O5" s="19"/>
      <c r="P5" s="19"/>
      <c r="Q5" s="19"/>
      <c r="R5" s="19"/>
      <c r="S5" s="3"/>
      <c r="T5" s="22" t="str">
        <f>(24-COUNTBLANK('アプリ登録'!$B$13:$B$36))&amp;" アプリ"</f>
        <v>2 アプリ</v>
      </c>
      <c r="U5" s="22"/>
      <c r="V5" s="22"/>
      <c r="W5" s="22"/>
      <c r="X5" s="22"/>
      <c r="Y5" s="22"/>
      <c r="Z5" s="22"/>
      <c r="AA5" s="22"/>
      <c r="AB5" s="3"/>
    </row>
    <row r="6" ht="17.25" customHeight="1">
      <c r="A6" s="3"/>
      <c r="B6" s="25" t="str">
        <v>DX推進委員会から一言</v>
      </c>
      <c r="C6" s="25"/>
      <c r="D6" s="25"/>
      <c r="E6" s="25"/>
      <c r="F6" s="25"/>
      <c r="G6" s="28" t="str">
        <f>IF('アプリ登録'!$C$5="","",'アプリ登録'!$C$5)</f>
      </c>
      <c r="H6" s="28"/>
      <c r="I6" s="28"/>
      <c r="J6" s="28"/>
      <c r="K6" s="28"/>
      <c r="L6" s="28"/>
      <c r="M6" s="28"/>
      <c r="N6" s="28"/>
      <c r="O6" s="28"/>
      <c r="P6" s="28"/>
      <c r="Q6" s="28"/>
      <c r="R6" s="28"/>
      <c r="S6" s="28"/>
      <c r="T6" s="28"/>
      <c r="U6" s="28"/>
      <c r="V6" s="28"/>
      <c r="W6" s="28"/>
      <c r="X6" s="28"/>
      <c r="Y6" s="28"/>
      <c r="Z6" s="28"/>
      <c r="AA6" s="28"/>
      <c r="AB6" s="3"/>
    </row>
    <row r="7" ht="21.75" customHeight="1">
      <c r="A7" s="3"/>
      <c r="B7" s="25"/>
      <c r="C7" s="25"/>
      <c r="D7" s="25"/>
      <c r="E7" s="25"/>
      <c r="F7" s="25"/>
      <c r="G7" s="28"/>
      <c r="H7" s="28"/>
      <c r="I7" s="28"/>
      <c r="J7" s="28"/>
      <c r="K7" s="28"/>
      <c r="L7" s="28"/>
      <c r="M7" s="28"/>
      <c r="N7" s="28"/>
      <c r="O7" s="28"/>
      <c r="P7" s="28"/>
      <c r="Q7" s="28"/>
      <c r="R7" s="28"/>
      <c r="S7" s="28"/>
      <c r="T7" s="28"/>
      <c r="U7" s="28"/>
      <c r="V7" s="28"/>
      <c r="W7" s="28"/>
      <c r="X7" s="28"/>
      <c r="Y7" s="28"/>
      <c r="Z7" s="28"/>
      <c r="AA7" s="28"/>
      <c r="AB7" s="3"/>
    </row>
    <row r="8" ht="13.5" customHeight="1">
      <c r="A8" s="3"/>
      <c r="B8" s="3"/>
      <c r="C8" s="3"/>
      <c r="D8" s="3"/>
      <c r="E8" s="3"/>
      <c r="F8" s="3"/>
      <c r="G8" s="3"/>
      <c r="H8" s="3"/>
      <c r="I8" s="3"/>
      <c r="J8" s="3"/>
      <c r="K8" s="3"/>
      <c r="L8" s="3"/>
      <c r="M8" s="3"/>
      <c r="N8" s="3"/>
      <c r="O8" s="3"/>
      <c r="P8" s="3"/>
      <c r="Q8" s="3"/>
      <c r="R8" s="3"/>
      <c r="S8" s="3"/>
      <c r="T8" s="3"/>
      <c r="U8" s="3"/>
      <c r="V8" s="3"/>
      <c r="W8" s="3"/>
      <c r="X8" s="3"/>
      <c r="Y8" s="3"/>
      <c r="Z8" s="3"/>
      <c r="AA8" s="3"/>
      <c r="AB8" s="3"/>
    </row>
    <row r="9" ht="6.75" customHeight="1">
      <c r="A9" s="3"/>
      <c r="B9" s="29"/>
      <c r="C9" s="29"/>
      <c r="D9" s="29"/>
      <c r="E9" s="29"/>
      <c r="F9" s="29"/>
      <c r="G9" s="29"/>
      <c r="H9" s="29"/>
      <c r="I9" s="29"/>
      <c r="J9" s="3"/>
      <c r="K9" s="29"/>
      <c r="L9" s="29"/>
      <c r="M9" s="29"/>
      <c r="N9" s="29"/>
      <c r="O9" s="29"/>
      <c r="P9" s="29"/>
      <c r="Q9" s="29"/>
      <c r="R9" s="29"/>
      <c r="S9" s="3"/>
      <c r="T9" s="29"/>
      <c r="U9" s="29"/>
      <c r="V9" s="29"/>
      <c r="W9" s="29"/>
      <c r="X9" s="29"/>
      <c r="Y9" s="29"/>
      <c r="Z9" s="29"/>
      <c r="AA9" s="29"/>
      <c r="AB9" s="3"/>
    </row>
    <row r="10" ht="30" customHeight="1">
      <c r="A10" s="3"/>
      <c r="B10" s="29"/>
      <c r="C10" s="33" t="str">
        <f>IF('アプリ登録'!$B$13="","",IF('アプリ登録'!$F$13="",LEFT('アプリ登録'!$B$13,1),'アプリ登録'!$F$13))</f>
        <v>引</v>
      </c>
      <c r="D10" s="29"/>
      <c r="E10" s="36" t="str">
        <f>IF('アプリ登録'!$B$13="","",IF('アプリ登録'!$D$13="","アプリ",'アプリ登録'!$D$13))</f>
        <v>記録・共有</v>
      </c>
      <c r="F10" s="36"/>
      <c r="G10" s="36"/>
      <c r="H10" s="36"/>
      <c r="I10" s="29"/>
      <c r="J10" s="3"/>
      <c r="K10" s="29"/>
      <c r="L10" s="49" t="str">
        <f>IF('アプリ登録'!$B$14="","",IF('アプリ登録'!$F$14="",LEFT('アプリ登録'!$B$14,1),'アプリ登録'!$F$14))</f>
        <v>集</v>
      </c>
      <c r="M10" s="29"/>
      <c r="N10" s="52" t="str">
        <f>IF('アプリ登録'!$B$14="","",IF('アプリ登録'!$D$14="","アプリ",'アプリ登録'!$D$14))</f>
        <v>集計・確認</v>
      </c>
      <c r="O10" s="52"/>
      <c r="P10" s="52"/>
      <c r="Q10" s="52"/>
      <c r="R10" s="29"/>
      <c r="S10" s="3"/>
      <c r="T10" s="29"/>
      <c r="U10" s="56" t="str">
        <f>IF('アプリ登録'!$B$15="","",IF('アプリ登録'!$F$15="",LEFT('アプリ登録'!$B$15,1),'アプリ登録'!$F$15))</f>
      </c>
      <c r="V10" s="29"/>
      <c r="W10" s="59" t="str">
        <f>IF('アプリ登録'!$B$15="","",IF('アプリ登録'!$D$15="","アプリ",'アプリ登録'!$D$15))</f>
      </c>
      <c r="X10" s="59"/>
      <c r="Y10" s="59"/>
      <c r="Z10" s="59"/>
      <c r="AA10" s="29"/>
      <c r="AB10" s="3"/>
    </row>
    <row r="11" ht="5.25" customHeight="1">
      <c r="A11" s="3"/>
      <c r="B11" s="29"/>
      <c r="C11" s="33"/>
      <c r="D11" s="29"/>
      <c r="E11" s="36"/>
      <c r="F11" s="36"/>
      <c r="G11" s="36"/>
      <c r="H11" s="36"/>
      <c r="I11" s="29"/>
      <c r="J11" s="3"/>
      <c r="K11" s="29"/>
      <c r="L11" s="49"/>
      <c r="M11" s="29"/>
      <c r="N11" s="52"/>
      <c r="O11" s="52"/>
      <c r="P11" s="52"/>
      <c r="Q11" s="52"/>
      <c r="R11" s="29"/>
      <c r="S11" s="3"/>
      <c r="T11" s="29"/>
      <c r="U11" s="56"/>
      <c r="V11" s="29"/>
      <c r="W11" s="59"/>
      <c r="X11" s="59"/>
      <c r="Y11" s="59"/>
      <c r="Z11" s="59"/>
      <c r="AA11" s="29"/>
      <c r="AB11" s="3"/>
    </row>
    <row r="12" ht="21" customHeight="1">
      <c r="A12" s="3"/>
      <c r="B12" s="29"/>
      <c r="C12" s="39" t="str">
        <f>IF('アプリ登録'!$B$13="","",'アプリ登録'!$B$13)</f>
        <v>引継ぎメモ</v>
      </c>
      <c r="D12" s="39"/>
      <c r="E12" s="39"/>
      <c r="F12" s="39"/>
      <c r="G12" s="39"/>
      <c r="H12" s="39"/>
      <c r="I12" s="29"/>
      <c r="J12" s="3"/>
      <c r="K12" s="29"/>
      <c r="L12" s="39" t="str">
        <f>IF('アプリ登録'!$B$14="","",'アプリ登録'!$B$14)</f>
        <v>地ケア・病床機能
指標モニター</v>
      </c>
      <c r="M12" s="39"/>
      <c r="N12" s="39"/>
      <c r="O12" s="39"/>
      <c r="P12" s="39"/>
      <c r="Q12" s="39"/>
      <c r="R12" s="29"/>
      <c r="S12" s="3"/>
      <c r="T12" s="29"/>
      <c r="U12" s="39" t="str">
        <f>IF('アプリ登録'!$B$15="","",'アプリ登録'!$B$15)</f>
      </c>
      <c r="V12" s="39"/>
      <c r="W12" s="39"/>
      <c r="X12" s="39"/>
      <c r="Y12" s="39"/>
      <c r="Z12" s="39"/>
      <c r="AA12" s="29"/>
      <c r="AB12" s="3"/>
    </row>
    <row r="13" ht="21" customHeight="1">
      <c r="A13" s="3"/>
      <c r="B13" s="29"/>
      <c r="C13" s="39"/>
      <c r="D13" s="39"/>
      <c r="E13" s="39"/>
      <c r="F13" s="39"/>
      <c r="G13" s="39"/>
      <c r="H13" s="39"/>
      <c r="I13" s="29"/>
      <c r="J13" s="3"/>
      <c r="K13" s="29"/>
      <c r="L13" s="39"/>
      <c r="M13" s="39"/>
      <c r="N13" s="39"/>
      <c r="O13" s="39"/>
      <c r="P13" s="39"/>
      <c r="Q13" s="39"/>
      <c r="R13" s="29"/>
      <c r="S13" s="3"/>
      <c r="T13" s="29"/>
      <c r="U13" s="39"/>
      <c r="V13" s="39"/>
      <c r="W13" s="39"/>
      <c r="X13" s="39"/>
      <c r="Y13" s="39"/>
      <c r="Z13" s="39"/>
      <c r="AA13" s="29"/>
      <c r="AB13" s="3"/>
    </row>
    <row r="14" ht="13.5" customHeight="1">
      <c r="A14" s="3"/>
      <c r="B14" s="29"/>
      <c r="C14" s="42" t="str">
        <f>IF('アプリ登録'!$B$13="","",'アプリ登録'!$C$13)</f>
        <v>引継ぎ事項を入力・保存・確認できます。</v>
      </c>
      <c r="D14" s="42"/>
      <c r="E14" s="42"/>
      <c r="F14" s="42"/>
      <c r="G14" s="42"/>
      <c r="H14" s="42"/>
      <c r="I14" s="29"/>
      <c r="J14" s="3"/>
      <c r="K14" s="29"/>
      <c r="L14" s="42" t="str">
        <f>IF('アプリ登録'!$B$14="","",'アプリ登録'!$C$14)</f>
        <v>CSVから病棟・月別の指標を確認します。</v>
      </c>
      <c r="M14" s="42"/>
      <c r="N14" s="42"/>
      <c r="O14" s="42"/>
      <c r="P14" s="42"/>
      <c r="Q14" s="42"/>
      <c r="R14" s="29"/>
      <c r="S14" s="3"/>
      <c r="T14" s="29"/>
      <c r="U14" s="42" t="str">
        <f>IF('アプリ登録'!$B$15="","",'アプリ登録'!$C$15)</f>
      </c>
      <c r="V14" s="42"/>
      <c r="W14" s="42"/>
      <c r="X14" s="42"/>
      <c r="Y14" s="42"/>
      <c r="Z14" s="42"/>
      <c r="AA14" s="29"/>
      <c r="AB14" s="3"/>
    </row>
    <row r="15" ht="13.5" customHeight="1">
      <c r="A15" s="3"/>
      <c r="B15" s="29"/>
      <c r="C15" s="42"/>
      <c r="D15" s="42"/>
      <c r="E15" s="42"/>
      <c r="F15" s="42"/>
      <c r="G15" s="42"/>
      <c r="H15" s="42"/>
      <c r="I15" s="29"/>
      <c r="J15" s="3"/>
      <c r="K15" s="29"/>
      <c r="L15" s="42"/>
      <c r="M15" s="42"/>
      <c r="N15" s="42"/>
      <c r="O15" s="42"/>
      <c r="P15" s="42"/>
      <c r="Q15" s="42"/>
      <c r="R15" s="29"/>
      <c r="S15" s="3"/>
      <c r="T15" s="29"/>
      <c r="U15" s="42"/>
      <c r="V15" s="42"/>
      <c r="W15" s="42"/>
      <c r="X15" s="42"/>
      <c r="Y15" s="42"/>
      <c r="Z15" s="42"/>
      <c r="AA15" s="29"/>
      <c r="AB15" s="3"/>
    </row>
    <row r="16" ht="13.5" customHeight="1">
      <c r="A16" s="3"/>
      <c r="B16" s="29"/>
      <c r="C16" s="42"/>
      <c r="D16" s="42"/>
      <c r="E16" s="42"/>
      <c r="F16" s="42"/>
      <c r="G16" s="42"/>
      <c r="H16" s="42"/>
      <c r="I16" s="29"/>
      <c r="J16" s="3"/>
      <c r="K16" s="29"/>
      <c r="L16" s="42"/>
      <c r="M16" s="42"/>
      <c r="N16" s="42"/>
      <c r="O16" s="42"/>
      <c r="P16" s="42"/>
      <c r="Q16" s="42"/>
      <c r="R16" s="29"/>
      <c r="S16" s="3"/>
      <c r="T16" s="29"/>
      <c r="U16" s="42"/>
      <c r="V16" s="42"/>
      <c r="W16" s="42"/>
      <c r="X16" s="42"/>
      <c r="Y16" s="42"/>
      <c r="Z16" s="42"/>
      <c r="AA16" s="29"/>
      <c r="AB16" s="3"/>
    </row>
    <row r="17" ht="6.75" customHeight="1">
      <c r="A17" s="3"/>
      <c r="B17" s="29"/>
      <c r="C17" s="29"/>
      <c r="D17" s="29"/>
      <c r="E17" s="29"/>
      <c r="F17" s="29"/>
      <c r="G17" s="29"/>
      <c r="H17" s="29"/>
      <c r="I17" s="29"/>
      <c r="J17" s="3"/>
      <c r="K17" s="29"/>
      <c r="L17" s="29"/>
      <c r="M17" s="29"/>
      <c r="N17" s="29"/>
      <c r="O17" s="29"/>
      <c r="P17" s="29"/>
      <c r="Q17" s="29"/>
      <c r="R17" s="29"/>
      <c r="S17" s="3"/>
      <c r="T17" s="29"/>
      <c r="U17" s="29"/>
      <c r="V17" s="29"/>
      <c r="W17" s="29"/>
      <c r="X17" s="29"/>
      <c r="Y17" s="29"/>
      <c r="Z17" s="29"/>
      <c r="AA17" s="29"/>
      <c r="AB17" s="3"/>
    </row>
    <row r="18" ht="25.5" customHeight="1">
      <c r="A18" s="3"/>
      <c r="B18" s="29"/>
      <c r="C18" s="45" t="str">
        <f>IF('アプリ登録'!$B$13="","",IF('アプリ登録'!$E$13="","準備中",HYPERLINK('アプリ登録'!$E$13,"開く  ↗")))</f>
        <v>準備中</v>
      </c>
      <c r="D18" s="45"/>
      <c r="E18" s="45"/>
      <c r="F18" s="45"/>
      <c r="G18" s="45"/>
      <c r="H18" s="45"/>
      <c r="I18" s="29"/>
      <c r="J18" s="3"/>
      <c r="K18" s="29"/>
      <c r="L18" s="45" t="str">
        <f>IF('アプリ登録'!$B$14="","",IF('アプリ登録'!$E$14="","準備中",HYPERLINK('アプリ登録'!$E$14,"開く  ↗")))</f>
        <v>準備中</v>
      </c>
      <c r="M18" s="45"/>
      <c r="N18" s="45"/>
      <c r="O18" s="45"/>
      <c r="P18" s="45"/>
      <c r="Q18" s="45"/>
      <c r="R18" s="29"/>
      <c r="S18" s="3"/>
      <c r="T18" s="29"/>
      <c r="U18" s="45" t="str">
        <f>IF('アプリ登録'!$B$15="","",IF('アプリ登録'!$E$15="","準備中",HYPERLINK('アプリ登録'!$E$15,"開く  ↗")))</f>
      </c>
      <c r="V18" s="45"/>
      <c r="W18" s="45"/>
      <c r="X18" s="45"/>
      <c r="Y18" s="45"/>
      <c r="Z18" s="45"/>
      <c r="AA18" s="29"/>
      <c r="AB18" s="3"/>
    </row>
    <row r="19" ht="9" customHeight="1">
      <c r="A19" s="3"/>
      <c r="B19" s="29"/>
      <c r="C19" s="29"/>
      <c r="D19" s="29"/>
      <c r="E19" s="29"/>
      <c r="F19" s="29"/>
      <c r="G19" s="29"/>
      <c r="H19" s="29"/>
      <c r="I19" s="29"/>
      <c r="J19" s="3"/>
      <c r="K19" s="29"/>
      <c r="L19" s="29"/>
      <c r="M19" s="29"/>
      <c r="N19" s="29"/>
      <c r="O19" s="29"/>
      <c r="P19" s="29"/>
      <c r="Q19" s="29"/>
      <c r="R19" s="29"/>
      <c r="S19" s="3"/>
      <c r="T19" s="29"/>
      <c r="U19" s="29"/>
      <c r="V19" s="29"/>
      <c r="W19" s="29"/>
      <c r="X19" s="29"/>
      <c r="Y19" s="29"/>
      <c r="Z19" s="29"/>
      <c r="AA19" s="29"/>
      <c r="AB19" s="3"/>
    </row>
    <row r="20" ht="13.5" customHeight="1">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row>
    <row r="21" ht="6.75" customHeight="1">
      <c r="A21" s="3"/>
      <c r="B21" s="29"/>
      <c r="C21" s="29"/>
      <c r="D21" s="29"/>
      <c r="E21" s="29"/>
      <c r="F21" s="29"/>
      <c r="G21" s="29"/>
      <c r="H21" s="29"/>
      <c r="I21" s="29"/>
      <c r="J21" s="3"/>
      <c r="K21" s="29"/>
      <c r="L21" s="29"/>
      <c r="M21" s="29"/>
      <c r="N21" s="29"/>
      <c r="O21" s="29"/>
      <c r="P21" s="29"/>
      <c r="Q21" s="29"/>
      <c r="R21" s="29"/>
      <c r="S21" s="3"/>
      <c r="T21" s="29"/>
      <c r="U21" s="29"/>
      <c r="V21" s="29"/>
      <c r="W21" s="29"/>
      <c r="X21" s="29"/>
      <c r="Y21" s="29"/>
      <c r="Z21" s="29"/>
      <c r="AA21" s="29"/>
      <c r="AB21" s="3"/>
    </row>
    <row r="22" ht="30" customHeight="1">
      <c r="A22" s="3"/>
      <c r="B22" s="29"/>
      <c r="C22" s="63" t="str">
        <f>IF('アプリ登録'!$B$16="","",IF('アプリ登録'!$F$16="",LEFT('アプリ登録'!$B$16,1),'アプリ登録'!$F$16))</f>
      </c>
      <c r="D22" s="29"/>
      <c r="E22" s="66" t="str">
        <f>IF('アプリ登録'!$B$16="","",IF('アプリ登録'!$D$16="","アプリ",'アプリ登録'!$D$16))</f>
      </c>
      <c r="F22" s="66"/>
      <c r="G22" s="66"/>
      <c r="H22" s="66"/>
      <c r="I22" s="29"/>
      <c r="J22" s="3"/>
      <c r="K22" s="29"/>
      <c r="L22" s="70" t="str">
        <f>IF('アプリ登録'!$B$17="","",IF('アプリ登録'!$F$17="",LEFT('アプリ登録'!$B$17,1),'アプリ登録'!$F$17))</f>
      </c>
      <c r="M22" s="29"/>
      <c r="N22" s="73" t="str">
        <f>IF('アプリ登録'!$B$17="","",IF('アプリ登録'!$D$17="","アプリ",'アプリ登録'!$D$17))</f>
      </c>
      <c r="O22" s="73"/>
      <c r="P22" s="73"/>
      <c r="Q22" s="73"/>
      <c r="R22" s="29"/>
      <c r="S22" s="3"/>
      <c r="T22" s="29"/>
      <c r="U22" s="77" t="str">
        <f>IF('アプリ登録'!$B$18="","",IF('アプリ登録'!$F$18="",LEFT('アプリ登録'!$B$18,1),'アプリ登録'!$F$18))</f>
      </c>
      <c r="V22" s="29"/>
      <c r="W22" s="80" t="str">
        <f>IF('アプリ登録'!$B$18="","",IF('アプリ登録'!$D$18="","アプリ",'アプリ登録'!$D$18))</f>
      </c>
      <c r="X22" s="80"/>
      <c r="Y22" s="80"/>
      <c r="Z22" s="80"/>
      <c r="AA22" s="29"/>
      <c r="AB22" s="3"/>
    </row>
    <row r="23" ht="5.25" customHeight="1">
      <c r="A23" s="3"/>
      <c r="B23" s="29"/>
      <c r="C23" s="63"/>
      <c r="D23" s="29"/>
      <c r="E23" s="66"/>
      <c r="F23" s="66"/>
      <c r="G23" s="66"/>
      <c r="H23" s="66"/>
      <c r="I23" s="29"/>
      <c r="J23" s="3"/>
      <c r="K23" s="29"/>
      <c r="L23" s="70"/>
      <c r="M23" s="29"/>
      <c r="N23" s="73"/>
      <c r="O23" s="73"/>
      <c r="P23" s="73"/>
      <c r="Q23" s="73"/>
      <c r="R23" s="29"/>
      <c r="S23" s="3"/>
      <c r="T23" s="29"/>
      <c r="U23" s="77"/>
      <c r="V23" s="29"/>
      <c r="W23" s="80"/>
      <c r="X23" s="80"/>
      <c r="Y23" s="80"/>
      <c r="Z23" s="80"/>
      <c r="AA23" s="29"/>
      <c r="AB23" s="3"/>
    </row>
    <row r="24" ht="21" customHeight="1">
      <c r="A24" s="3"/>
      <c r="B24" s="29"/>
      <c r="C24" s="39" t="str">
        <f>IF('アプリ登録'!$B$16="","",'アプリ登録'!$B$16)</f>
      </c>
      <c r="D24" s="39"/>
      <c r="E24" s="39"/>
      <c r="F24" s="39"/>
      <c r="G24" s="39"/>
      <c r="H24" s="39"/>
      <c r="I24" s="29"/>
      <c r="J24" s="3"/>
      <c r="K24" s="29"/>
      <c r="L24" s="39" t="str">
        <f>IF('アプリ登録'!$B$17="","",'アプリ登録'!$B$17)</f>
      </c>
      <c r="M24" s="39"/>
      <c r="N24" s="39"/>
      <c r="O24" s="39"/>
      <c r="P24" s="39"/>
      <c r="Q24" s="39"/>
      <c r="R24" s="29"/>
      <c r="S24" s="3"/>
      <c r="T24" s="29"/>
      <c r="U24" s="39" t="str">
        <f>IF('アプリ登録'!$B$18="","",'アプリ登録'!$B$18)</f>
      </c>
      <c r="V24" s="39"/>
      <c r="W24" s="39"/>
      <c r="X24" s="39"/>
      <c r="Y24" s="39"/>
      <c r="Z24" s="39"/>
      <c r="AA24" s="29"/>
      <c r="AB24" s="3"/>
    </row>
    <row r="25" ht="21" customHeight="1">
      <c r="A25" s="3"/>
      <c r="B25" s="29"/>
      <c r="C25" s="39"/>
      <c r="D25" s="39"/>
      <c r="E25" s="39"/>
      <c r="F25" s="39"/>
      <c r="G25" s="39"/>
      <c r="H25" s="39"/>
      <c r="I25" s="29"/>
      <c r="J25" s="3"/>
      <c r="K25" s="29"/>
      <c r="L25" s="39"/>
      <c r="M25" s="39"/>
      <c r="N25" s="39"/>
      <c r="O25" s="39"/>
      <c r="P25" s="39"/>
      <c r="Q25" s="39"/>
      <c r="R25" s="29"/>
      <c r="S25" s="3"/>
      <c r="T25" s="29"/>
      <c r="U25" s="39"/>
      <c r="V25" s="39"/>
      <c r="W25" s="39"/>
      <c r="X25" s="39"/>
      <c r="Y25" s="39"/>
      <c r="Z25" s="39"/>
      <c r="AA25" s="29"/>
      <c r="AB25" s="3"/>
    </row>
    <row r="26" ht="13.5" customHeight="1">
      <c r="A26" s="3"/>
      <c r="B26" s="29"/>
      <c r="C26" s="42" t="str">
        <f>IF('アプリ登録'!$B$16="","",'アプリ登録'!$C$16)</f>
      </c>
      <c r="D26" s="42"/>
      <c r="E26" s="42"/>
      <c r="F26" s="42"/>
      <c r="G26" s="42"/>
      <c r="H26" s="42"/>
      <c r="I26" s="29"/>
      <c r="J26" s="3"/>
      <c r="K26" s="29"/>
      <c r="L26" s="42" t="str">
        <f>IF('アプリ登録'!$B$17="","",'アプリ登録'!$C$17)</f>
      </c>
      <c r="M26" s="42"/>
      <c r="N26" s="42"/>
      <c r="O26" s="42"/>
      <c r="P26" s="42"/>
      <c r="Q26" s="42"/>
      <c r="R26" s="29"/>
      <c r="S26" s="3"/>
      <c r="T26" s="29"/>
      <c r="U26" s="42" t="str">
        <f>IF('アプリ登録'!$B$18="","",'アプリ登録'!$C$18)</f>
      </c>
      <c r="V26" s="42"/>
      <c r="W26" s="42"/>
      <c r="X26" s="42"/>
      <c r="Y26" s="42"/>
      <c r="Z26" s="42"/>
      <c r="AA26" s="29"/>
      <c r="AB26" s="3"/>
    </row>
    <row r="27" ht="13.5" customHeight="1">
      <c r="A27" s="3"/>
      <c r="B27" s="29"/>
      <c r="C27" s="42"/>
      <c r="D27" s="42"/>
      <c r="E27" s="42"/>
      <c r="F27" s="42"/>
      <c r="G27" s="42"/>
      <c r="H27" s="42"/>
      <c r="I27" s="29"/>
      <c r="J27" s="3"/>
      <c r="K27" s="29"/>
      <c r="L27" s="42"/>
      <c r="M27" s="42"/>
      <c r="N27" s="42"/>
      <c r="O27" s="42"/>
      <c r="P27" s="42"/>
      <c r="Q27" s="42"/>
      <c r="R27" s="29"/>
      <c r="S27" s="3"/>
      <c r="T27" s="29"/>
      <c r="U27" s="42"/>
      <c r="V27" s="42"/>
      <c r="W27" s="42"/>
      <c r="X27" s="42"/>
      <c r="Y27" s="42"/>
      <c r="Z27" s="42"/>
      <c r="AA27" s="29"/>
      <c r="AB27" s="3"/>
    </row>
    <row r="28" ht="13.5" customHeight="1">
      <c r="A28" s="3"/>
      <c r="B28" s="29"/>
      <c r="C28" s="42"/>
      <c r="D28" s="42"/>
      <c r="E28" s="42"/>
      <c r="F28" s="42"/>
      <c r="G28" s="42"/>
      <c r="H28" s="42"/>
      <c r="I28" s="29"/>
      <c r="J28" s="3"/>
      <c r="K28" s="29"/>
      <c r="L28" s="42"/>
      <c r="M28" s="42"/>
      <c r="N28" s="42"/>
      <c r="O28" s="42"/>
      <c r="P28" s="42"/>
      <c r="Q28" s="42"/>
      <c r="R28" s="29"/>
      <c r="S28" s="3"/>
      <c r="T28" s="29"/>
      <c r="U28" s="42"/>
      <c r="V28" s="42"/>
      <c r="W28" s="42"/>
      <c r="X28" s="42"/>
      <c r="Y28" s="42"/>
      <c r="Z28" s="42"/>
      <c r="AA28" s="29"/>
      <c r="AB28" s="3"/>
    </row>
    <row r="29" ht="6.75" customHeight="1">
      <c r="A29" s="3"/>
      <c r="B29" s="29"/>
      <c r="C29" s="29"/>
      <c r="D29" s="29"/>
      <c r="E29" s="29"/>
      <c r="F29" s="29"/>
      <c r="G29" s="29"/>
      <c r="H29" s="29"/>
      <c r="I29" s="29"/>
      <c r="J29" s="3"/>
      <c r="K29" s="29"/>
      <c r="L29" s="29"/>
      <c r="M29" s="29"/>
      <c r="N29" s="29"/>
      <c r="O29" s="29"/>
      <c r="P29" s="29"/>
      <c r="Q29" s="29"/>
      <c r="R29" s="29"/>
      <c r="S29" s="3"/>
      <c r="T29" s="29"/>
      <c r="U29" s="29"/>
      <c r="V29" s="29"/>
      <c r="W29" s="29"/>
      <c r="X29" s="29"/>
      <c r="Y29" s="29"/>
      <c r="Z29" s="29"/>
      <c r="AA29" s="29"/>
      <c r="AB29" s="3"/>
    </row>
    <row r="30" ht="25.5" customHeight="1">
      <c r="A30" s="3"/>
      <c r="B30" s="29"/>
      <c r="C30" s="45" t="str">
        <f>IF('アプリ登録'!$B$16="","",IF('アプリ登録'!$E$16="","準備中",HYPERLINK('アプリ登録'!$E$16,"開く  ↗")))</f>
      </c>
      <c r="D30" s="45"/>
      <c r="E30" s="45"/>
      <c r="F30" s="45"/>
      <c r="G30" s="45"/>
      <c r="H30" s="45"/>
      <c r="I30" s="29"/>
      <c r="J30" s="3"/>
      <c r="K30" s="29"/>
      <c r="L30" s="45" t="str">
        <f>IF('アプリ登録'!$B$17="","",IF('アプリ登録'!$E$17="","準備中",HYPERLINK('アプリ登録'!$E$17,"開く  ↗")))</f>
      </c>
      <c r="M30" s="45"/>
      <c r="N30" s="45"/>
      <c r="O30" s="45"/>
      <c r="P30" s="45"/>
      <c r="Q30" s="45"/>
      <c r="R30" s="29"/>
      <c r="S30" s="3"/>
      <c r="T30" s="29"/>
      <c r="U30" s="45" t="str">
        <f>IF('アプリ登録'!$B$18="","",IF('アプリ登録'!$E$18="","準備中",HYPERLINK('アプリ登録'!$E$18,"開く  ↗")))</f>
      </c>
      <c r="V30" s="45"/>
      <c r="W30" s="45"/>
      <c r="X30" s="45"/>
      <c r="Y30" s="45"/>
      <c r="Z30" s="45"/>
      <c r="AA30" s="29"/>
      <c r="AB30" s="3"/>
    </row>
    <row r="31" ht="9" customHeight="1">
      <c r="A31" s="3"/>
      <c r="B31" s="29"/>
      <c r="C31" s="29"/>
      <c r="D31" s="29"/>
      <c r="E31" s="29"/>
      <c r="F31" s="29"/>
      <c r="G31" s="29"/>
      <c r="H31" s="29"/>
      <c r="I31" s="29"/>
      <c r="J31" s="3"/>
      <c r="K31" s="29"/>
      <c r="L31" s="29"/>
      <c r="M31" s="29"/>
      <c r="N31" s="29"/>
      <c r="O31" s="29"/>
      <c r="P31" s="29"/>
      <c r="Q31" s="29"/>
      <c r="R31" s="29"/>
      <c r="S31" s="3"/>
      <c r="T31" s="29"/>
      <c r="U31" s="29"/>
      <c r="V31" s="29"/>
      <c r="W31" s="29"/>
      <c r="X31" s="29"/>
      <c r="Y31" s="29"/>
      <c r="Z31" s="29"/>
      <c r="AA31" s="29"/>
      <c r="AB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row>
    <row r="33" ht="6.75" customHeight="1">
      <c r="A33" s="3"/>
      <c r="B33" s="29"/>
      <c r="C33" s="29"/>
      <c r="D33" s="29"/>
      <c r="E33" s="29"/>
      <c r="F33" s="29"/>
      <c r="G33" s="29"/>
      <c r="H33" s="29"/>
      <c r="I33" s="29"/>
      <c r="J33" s="3"/>
      <c r="K33" s="29"/>
      <c r="L33" s="29"/>
      <c r="M33" s="29"/>
      <c r="N33" s="29"/>
      <c r="O33" s="29"/>
      <c r="P33" s="29"/>
      <c r="Q33" s="29"/>
      <c r="R33" s="29"/>
      <c r="S33" s="3"/>
      <c r="T33" s="29"/>
      <c r="U33" s="29"/>
      <c r="V33" s="29"/>
      <c r="W33" s="29"/>
      <c r="X33" s="29"/>
      <c r="Y33" s="29"/>
      <c r="Z33" s="29"/>
      <c r="AA33" s="29"/>
      <c r="AB33" s="3"/>
    </row>
    <row r="34" ht="30" customHeight="1">
      <c r="A34" s="3"/>
      <c r="B34" s="29"/>
      <c r="C34" s="33" t="str">
        <f>IF('アプリ登録'!$B$19="","",IF('アプリ登録'!$F$19="",LEFT('アプリ登録'!$B$19,1),'アプリ登録'!$F$19))</f>
      </c>
      <c r="D34" s="29"/>
      <c r="E34" s="36" t="str">
        <f>IF('アプリ登録'!$B$19="","",IF('アプリ登録'!$D$19="","アプリ",'アプリ登録'!$D$19))</f>
      </c>
      <c r="F34" s="36"/>
      <c r="G34" s="36"/>
      <c r="H34" s="36"/>
      <c r="I34" s="29"/>
      <c r="J34" s="3"/>
      <c r="K34" s="29"/>
      <c r="L34" s="49" t="str">
        <f>IF('アプリ登録'!$B$20="","",IF('アプリ登録'!$F$20="",LEFT('アプリ登録'!$B$20,1),'アプリ登録'!$F$20))</f>
      </c>
      <c r="M34" s="29"/>
      <c r="N34" s="52" t="str">
        <f>IF('アプリ登録'!$B$20="","",IF('アプリ登録'!$D$20="","アプリ",'アプリ登録'!$D$20))</f>
      </c>
      <c r="O34" s="52"/>
      <c r="P34" s="52"/>
      <c r="Q34" s="52"/>
      <c r="R34" s="29"/>
      <c r="S34" s="3"/>
      <c r="T34" s="29"/>
      <c r="U34" s="56" t="str">
        <f>IF('アプリ登録'!$B$21="","",IF('アプリ登録'!$F$21="",LEFT('アプリ登録'!$B$21,1),'アプリ登録'!$F$21))</f>
      </c>
      <c r="V34" s="29"/>
      <c r="W34" s="59" t="str">
        <f>IF('アプリ登録'!$B$21="","",IF('アプリ登録'!$D$21="","アプリ",'アプリ登録'!$D$21))</f>
      </c>
      <c r="X34" s="59"/>
      <c r="Y34" s="59"/>
      <c r="Z34" s="59"/>
      <c r="AA34" s="29"/>
      <c r="AB34" s="3"/>
    </row>
    <row r="35" ht="5.25" customHeight="1">
      <c r="A35" s="3"/>
      <c r="B35" s="29"/>
      <c r="C35" s="33"/>
      <c r="D35" s="29"/>
      <c r="E35" s="36"/>
      <c r="F35" s="36"/>
      <c r="G35" s="36"/>
      <c r="H35" s="36"/>
      <c r="I35" s="29"/>
      <c r="J35" s="3"/>
      <c r="K35" s="29"/>
      <c r="L35" s="49"/>
      <c r="M35" s="29"/>
      <c r="N35" s="52"/>
      <c r="O35" s="52"/>
      <c r="P35" s="52"/>
      <c r="Q35" s="52"/>
      <c r="R35" s="29"/>
      <c r="S35" s="3"/>
      <c r="T35" s="29"/>
      <c r="U35" s="56"/>
      <c r="V35" s="29"/>
      <c r="W35" s="59"/>
      <c r="X35" s="59"/>
      <c r="Y35" s="59"/>
      <c r="Z35" s="59"/>
      <c r="AA35" s="29"/>
      <c r="AB35" s="3"/>
    </row>
    <row r="36" ht="21" customHeight="1">
      <c r="A36" s="3"/>
      <c r="B36" s="29"/>
      <c r="C36" s="39" t="str">
        <f>IF('アプリ登録'!$B$19="","",'アプリ登録'!$B$19)</f>
      </c>
      <c r="D36" s="39"/>
      <c r="E36" s="39"/>
      <c r="F36" s="39"/>
      <c r="G36" s="39"/>
      <c r="H36" s="39"/>
      <c r="I36" s="29"/>
      <c r="J36" s="3"/>
      <c r="K36" s="29"/>
      <c r="L36" s="39" t="str">
        <f>IF('アプリ登録'!$B$20="","",'アプリ登録'!$B$20)</f>
      </c>
      <c r="M36" s="39"/>
      <c r="N36" s="39"/>
      <c r="O36" s="39"/>
      <c r="P36" s="39"/>
      <c r="Q36" s="39"/>
      <c r="R36" s="29"/>
      <c r="S36" s="3"/>
      <c r="T36" s="29"/>
      <c r="U36" s="39" t="str">
        <f>IF('アプリ登録'!$B$21="","",'アプリ登録'!$B$21)</f>
      </c>
      <c r="V36" s="39"/>
      <c r="W36" s="39"/>
      <c r="X36" s="39"/>
      <c r="Y36" s="39"/>
      <c r="Z36" s="39"/>
      <c r="AA36" s="29"/>
      <c r="AB36" s="3"/>
    </row>
    <row r="37" ht="21" customHeight="1">
      <c r="A37" s="3"/>
      <c r="B37" s="29"/>
      <c r="C37" s="39"/>
      <c r="D37" s="39"/>
      <c r="E37" s="39"/>
      <c r="F37" s="39"/>
      <c r="G37" s="39"/>
      <c r="H37" s="39"/>
      <c r="I37" s="29"/>
      <c r="J37" s="3"/>
      <c r="K37" s="29"/>
      <c r="L37" s="39"/>
      <c r="M37" s="39"/>
      <c r="N37" s="39"/>
      <c r="O37" s="39"/>
      <c r="P37" s="39"/>
      <c r="Q37" s="39"/>
      <c r="R37" s="29"/>
      <c r="S37" s="3"/>
      <c r="T37" s="29"/>
      <c r="U37" s="39"/>
      <c r="V37" s="39"/>
      <c r="W37" s="39"/>
      <c r="X37" s="39"/>
      <c r="Y37" s="39"/>
      <c r="Z37" s="39"/>
      <c r="AA37" s="29"/>
      <c r="AB37" s="3"/>
    </row>
    <row r="38" ht="13.5" customHeight="1">
      <c r="A38" s="3"/>
      <c r="B38" s="29"/>
      <c r="C38" s="42" t="str">
        <f>IF('アプリ登録'!$B$19="","",'アプリ登録'!$C$19)</f>
      </c>
      <c r="D38" s="42"/>
      <c r="E38" s="42"/>
      <c r="F38" s="42"/>
      <c r="G38" s="42"/>
      <c r="H38" s="42"/>
      <c r="I38" s="29"/>
      <c r="J38" s="3"/>
      <c r="K38" s="29"/>
      <c r="L38" s="42" t="str">
        <f>IF('アプリ登録'!$B$20="","",'アプリ登録'!$C$20)</f>
      </c>
      <c r="M38" s="42"/>
      <c r="N38" s="42"/>
      <c r="O38" s="42"/>
      <c r="P38" s="42"/>
      <c r="Q38" s="42"/>
      <c r="R38" s="29"/>
      <c r="S38" s="3"/>
      <c r="T38" s="29"/>
      <c r="U38" s="42" t="str">
        <f>IF('アプリ登録'!$B$21="","",'アプリ登録'!$C$21)</f>
      </c>
      <c r="V38" s="42"/>
      <c r="W38" s="42"/>
      <c r="X38" s="42"/>
      <c r="Y38" s="42"/>
      <c r="Z38" s="42"/>
      <c r="AA38" s="29"/>
      <c r="AB38" s="3"/>
    </row>
    <row r="39" ht="13.5" customHeight="1">
      <c r="A39" s="3"/>
      <c r="B39" s="29"/>
      <c r="C39" s="42"/>
      <c r="D39" s="42"/>
      <c r="E39" s="42"/>
      <c r="F39" s="42"/>
      <c r="G39" s="42"/>
      <c r="H39" s="42"/>
      <c r="I39" s="29"/>
      <c r="J39" s="3"/>
      <c r="K39" s="29"/>
      <c r="L39" s="42"/>
      <c r="M39" s="42"/>
      <c r="N39" s="42"/>
      <c r="O39" s="42"/>
      <c r="P39" s="42"/>
      <c r="Q39" s="42"/>
      <c r="R39" s="29"/>
      <c r="S39" s="3"/>
      <c r="T39" s="29"/>
      <c r="U39" s="42"/>
      <c r="V39" s="42"/>
      <c r="W39" s="42"/>
      <c r="X39" s="42"/>
      <c r="Y39" s="42"/>
      <c r="Z39" s="42"/>
      <c r="AA39" s="29"/>
      <c r="AB39" s="3"/>
    </row>
    <row r="40" ht="13.5" customHeight="1">
      <c r="A40" s="3"/>
      <c r="B40" s="29"/>
      <c r="C40" s="42"/>
      <c r="D40" s="42"/>
      <c r="E40" s="42"/>
      <c r="F40" s="42"/>
      <c r="G40" s="42"/>
      <c r="H40" s="42"/>
      <c r="I40" s="29"/>
      <c r="J40" s="3"/>
      <c r="K40" s="29"/>
      <c r="L40" s="42"/>
      <c r="M40" s="42"/>
      <c r="N40" s="42"/>
      <c r="O40" s="42"/>
      <c r="P40" s="42"/>
      <c r="Q40" s="42"/>
      <c r="R40" s="29"/>
      <c r="S40" s="3"/>
      <c r="T40" s="29"/>
      <c r="U40" s="42"/>
      <c r="V40" s="42"/>
      <c r="W40" s="42"/>
      <c r="X40" s="42"/>
      <c r="Y40" s="42"/>
      <c r="Z40" s="42"/>
      <c r="AA40" s="29"/>
      <c r="AB40" s="3"/>
    </row>
    <row r="41" ht="6.75" customHeight="1">
      <c r="A41" s="3"/>
      <c r="B41" s="29"/>
      <c r="C41" s="29"/>
      <c r="D41" s="29"/>
      <c r="E41" s="29"/>
      <c r="F41" s="29"/>
      <c r="G41" s="29"/>
      <c r="H41" s="29"/>
      <c r="I41" s="29"/>
      <c r="J41" s="3"/>
      <c r="K41" s="29"/>
      <c r="L41" s="29"/>
      <c r="M41" s="29"/>
      <c r="N41" s="29"/>
      <c r="O41" s="29"/>
      <c r="P41" s="29"/>
      <c r="Q41" s="29"/>
      <c r="R41" s="29"/>
      <c r="S41" s="3"/>
      <c r="T41" s="29"/>
      <c r="U41" s="29"/>
      <c r="V41" s="29"/>
      <c r="W41" s="29"/>
      <c r="X41" s="29"/>
      <c r="Y41" s="29"/>
      <c r="Z41" s="29"/>
      <c r="AA41" s="29"/>
      <c r="AB41" s="3"/>
    </row>
    <row r="42" ht="25.5" customHeight="1">
      <c r="A42" s="3"/>
      <c r="B42" s="29"/>
      <c r="C42" s="45" t="str">
        <f>IF('アプリ登録'!$B$19="","",IF('アプリ登録'!$E$19="","準備中",HYPERLINK('アプリ登録'!$E$19,"開く  ↗")))</f>
      </c>
      <c r="D42" s="45"/>
      <c r="E42" s="45"/>
      <c r="F42" s="45"/>
      <c r="G42" s="45"/>
      <c r="H42" s="45"/>
      <c r="I42" s="29"/>
      <c r="J42" s="3"/>
      <c r="K42" s="29"/>
      <c r="L42" s="45" t="str">
        <f>IF('アプリ登録'!$B$20="","",IF('アプリ登録'!$E$20="","準備中",HYPERLINK('アプリ登録'!$E$20,"開く  ↗")))</f>
      </c>
      <c r="M42" s="45"/>
      <c r="N42" s="45"/>
      <c r="O42" s="45"/>
      <c r="P42" s="45"/>
      <c r="Q42" s="45"/>
      <c r="R42" s="29"/>
      <c r="S42" s="3"/>
      <c r="T42" s="29"/>
      <c r="U42" s="45" t="str">
        <f>IF('アプリ登録'!$B$21="","",IF('アプリ登録'!$E$21="","準備中",HYPERLINK('アプリ登録'!$E$21,"開く  ↗")))</f>
      </c>
      <c r="V42" s="45"/>
      <c r="W42" s="45"/>
      <c r="X42" s="45"/>
      <c r="Y42" s="45"/>
      <c r="Z42" s="45"/>
      <c r="AA42" s="29"/>
      <c r="AB42" s="3"/>
    </row>
    <row r="43" ht="9" customHeight="1">
      <c r="A43" s="3"/>
      <c r="B43" s="29"/>
      <c r="C43" s="29"/>
      <c r="D43" s="29"/>
      <c r="E43" s="29"/>
      <c r="F43" s="29"/>
      <c r="G43" s="29"/>
      <c r="H43" s="29"/>
      <c r="I43" s="29"/>
      <c r="J43" s="3"/>
      <c r="K43" s="29"/>
      <c r="L43" s="29"/>
      <c r="M43" s="29"/>
      <c r="N43" s="29"/>
      <c r="O43" s="29"/>
      <c r="P43" s="29"/>
      <c r="Q43" s="29"/>
      <c r="R43" s="29"/>
      <c r="S43" s="3"/>
      <c r="T43" s="29"/>
      <c r="U43" s="29"/>
      <c r="V43" s="29"/>
      <c r="W43" s="29"/>
      <c r="X43" s="29"/>
      <c r="Y43" s="29"/>
      <c r="Z43" s="29"/>
      <c r="AA43" s="29"/>
      <c r="AB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row>
    <row r="45" ht="6.75" customHeight="1">
      <c r="A45" s="3"/>
      <c r="B45" s="29"/>
      <c r="C45" s="29"/>
      <c r="D45" s="29"/>
      <c r="E45" s="29"/>
      <c r="F45" s="29"/>
      <c r="G45" s="29"/>
      <c r="H45" s="29"/>
      <c r="I45" s="29"/>
      <c r="J45" s="3"/>
      <c r="K45" s="29"/>
      <c r="L45" s="29"/>
      <c r="M45" s="29"/>
      <c r="N45" s="29"/>
      <c r="O45" s="29"/>
      <c r="P45" s="29"/>
      <c r="Q45" s="29"/>
      <c r="R45" s="29"/>
      <c r="S45" s="3"/>
      <c r="T45" s="29"/>
      <c r="U45" s="29"/>
      <c r="V45" s="29"/>
      <c r="W45" s="29"/>
      <c r="X45" s="29"/>
      <c r="Y45" s="29"/>
      <c r="Z45" s="29"/>
      <c r="AA45" s="29"/>
      <c r="AB45" s="3"/>
    </row>
    <row r="46" ht="30" customHeight="1">
      <c r="A46" s="3"/>
      <c r="B46" s="29"/>
      <c r="C46" s="63" t="str">
        <f>IF('アプリ登録'!$B$22="","",IF('アプリ登録'!$F$22="",LEFT('アプリ登録'!$B$22,1),'アプリ登録'!$F$22))</f>
      </c>
      <c r="D46" s="29"/>
      <c r="E46" s="66" t="str">
        <f>IF('アプリ登録'!$B$22="","",IF('アプリ登録'!$D$22="","アプリ",'アプリ登録'!$D$22))</f>
      </c>
      <c r="F46" s="66"/>
      <c r="G46" s="66"/>
      <c r="H46" s="66"/>
      <c r="I46" s="29"/>
      <c r="J46" s="3"/>
      <c r="K46" s="29"/>
      <c r="L46" s="70" t="str">
        <f>IF('アプリ登録'!$B$23="","",IF('アプリ登録'!$F$23="",LEFT('アプリ登録'!$B$23,1),'アプリ登録'!$F$23))</f>
      </c>
      <c r="M46" s="29"/>
      <c r="N46" s="73" t="str">
        <f>IF('アプリ登録'!$B$23="","",IF('アプリ登録'!$D$23="","アプリ",'アプリ登録'!$D$23))</f>
      </c>
      <c r="O46" s="73"/>
      <c r="P46" s="73"/>
      <c r="Q46" s="73"/>
      <c r="R46" s="29"/>
      <c r="S46" s="3"/>
      <c r="T46" s="29"/>
      <c r="U46" s="77" t="str">
        <f>IF('アプリ登録'!$B$24="","",IF('アプリ登録'!$F$24="",LEFT('アプリ登録'!$B$24,1),'アプリ登録'!$F$24))</f>
      </c>
      <c r="V46" s="29"/>
      <c r="W46" s="80" t="str">
        <f>IF('アプリ登録'!$B$24="","",IF('アプリ登録'!$D$24="","アプリ",'アプリ登録'!$D$24))</f>
      </c>
      <c r="X46" s="80"/>
      <c r="Y46" s="80"/>
      <c r="Z46" s="80"/>
      <c r="AA46" s="29"/>
      <c r="AB46" s="3"/>
    </row>
    <row r="47" ht="5.25" customHeight="1">
      <c r="A47" s="3"/>
      <c r="B47" s="29"/>
      <c r="C47" s="63"/>
      <c r="D47" s="29"/>
      <c r="E47" s="66"/>
      <c r="F47" s="66"/>
      <c r="G47" s="66"/>
      <c r="H47" s="66"/>
      <c r="I47" s="29"/>
      <c r="J47" s="3"/>
      <c r="K47" s="29"/>
      <c r="L47" s="70"/>
      <c r="M47" s="29"/>
      <c r="N47" s="73"/>
      <c r="O47" s="73"/>
      <c r="P47" s="73"/>
      <c r="Q47" s="73"/>
      <c r="R47" s="29"/>
      <c r="S47" s="3"/>
      <c r="T47" s="29"/>
      <c r="U47" s="77"/>
      <c r="V47" s="29"/>
      <c r="W47" s="80"/>
      <c r="X47" s="80"/>
      <c r="Y47" s="80"/>
      <c r="Z47" s="80"/>
      <c r="AA47" s="29"/>
      <c r="AB47" s="3"/>
    </row>
    <row r="48" ht="21" customHeight="1">
      <c r="A48" s="3"/>
      <c r="B48" s="29"/>
      <c r="C48" s="39" t="str">
        <f>IF('アプリ登録'!$B$22="","",'アプリ登録'!$B$22)</f>
      </c>
      <c r="D48" s="39"/>
      <c r="E48" s="39"/>
      <c r="F48" s="39"/>
      <c r="G48" s="39"/>
      <c r="H48" s="39"/>
      <c r="I48" s="29"/>
      <c r="J48" s="3"/>
      <c r="K48" s="29"/>
      <c r="L48" s="39" t="str">
        <f>IF('アプリ登録'!$B$23="","",'アプリ登録'!$B$23)</f>
      </c>
      <c r="M48" s="39"/>
      <c r="N48" s="39"/>
      <c r="O48" s="39"/>
      <c r="P48" s="39"/>
      <c r="Q48" s="39"/>
      <c r="R48" s="29"/>
      <c r="S48" s="3"/>
      <c r="T48" s="29"/>
      <c r="U48" s="39" t="str">
        <f>IF('アプリ登録'!$B$24="","",'アプリ登録'!$B$24)</f>
      </c>
      <c r="V48" s="39"/>
      <c r="W48" s="39"/>
      <c r="X48" s="39"/>
      <c r="Y48" s="39"/>
      <c r="Z48" s="39"/>
      <c r="AA48" s="29"/>
      <c r="AB48" s="3"/>
    </row>
    <row r="49" ht="21" customHeight="1">
      <c r="A49" s="3"/>
      <c r="B49" s="29"/>
      <c r="C49" s="39"/>
      <c r="D49" s="39"/>
      <c r="E49" s="39"/>
      <c r="F49" s="39"/>
      <c r="G49" s="39"/>
      <c r="H49" s="39"/>
      <c r="I49" s="29"/>
      <c r="J49" s="3"/>
      <c r="K49" s="29"/>
      <c r="L49" s="39"/>
      <c r="M49" s="39"/>
      <c r="N49" s="39"/>
      <c r="O49" s="39"/>
      <c r="P49" s="39"/>
      <c r="Q49" s="39"/>
      <c r="R49" s="29"/>
      <c r="S49" s="3"/>
      <c r="T49" s="29"/>
      <c r="U49" s="39"/>
      <c r="V49" s="39"/>
      <c r="W49" s="39"/>
      <c r="X49" s="39"/>
      <c r="Y49" s="39"/>
      <c r="Z49" s="39"/>
      <c r="AA49" s="29"/>
      <c r="AB49" s="3"/>
    </row>
    <row r="50" ht="13.5" customHeight="1">
      <c r="A50" s="3"/>
      <c r="B50" s="29"/>
      <c r="C50" s="42" t="str">
        <f>IF('アプリ登録'!$B$22="","",'アプリ登録'!$C$22)</f>
      </c>
      <c r="D50" s="42"/>
      <c r="E50" s="42"/>
      <c r="F50" s="42"/>
      <c r="G50" s="42"/>
      <c r="H50" s="42"/>
      <c r="I50" s="29"/>
      <c r="J50" s="3"/>
      <c r="K50" s="29"/>
      <c r="L50" s="42" t="str">
        <f>IF('アプリ登録'!$B$23="","",'アプリ登録'!$C$23)</f>
      </c>
      <c r="M50" s="42"/>
      <c r="N50" s="42"/>
      <c r="O50" s="42"/>
      <c r="P50" s="42"/>
      <c r="Q50" s="42"/>
      <c r="R50" s="29"/>
      <c r="S50" s="3"/>
      <c r="T50" s="29"/>
      <c r="U50" s="42" t="str">
        <f>IF('アプリ登録'!$B$24="","",'アプリ登録'!$C$24)</f>
      </c>
      <c r="V50" s="42"/>
      <c r="W50" s="42"/>
      <c r="X50" s="42"/>
      <c r="Y50" s="42"/>
      <c r="Z50" s="42"/>
      <c r="AA50" s="29"/>
      <c r="AB50" s="3"/>
    </row>
    <row r="51" ht="13.5" customHeight="1">
      <c r="A51" s="3"/>
      <c r="B51" s="29"/>
      <c r="C51" s="42"/>
      <c r="D51" s="42"/>
      <c r="E51" s="42"/>
      <c r="F51" s="42"/>
      <c r="G51" s="42"/>
      <c r="H51" s="42"/>
      <c r="I51" s="29"/>
      <c r="J51" s="3"/>
      <c r="K51" s="29"/>
      <c r="L51" s="42"/>
      <c r="M51" s="42"/>
      <c r="N51" s="42"/>
      <c r="O51" s="42"/>
      <c r="P51" s="42"/>
      <c r="Q51" s="42"/>
      <c r="R51" s="29"/>
      <c r="S51" s="3"/>
      <c r="T51" s="29"/>
      <c r="U51" s="42"/>
      <c r="V51" s="42"/>
      <c r="W51" s="42"/>
      <c r="X51" s="42"/>
      <c r="Y51" s="42"/>
      <c r="Z51" s="42"/>
      <c r="AA51" s="29"/>
      <c r="AB51" s="3"/>
    </row>
    <row r="52" ht="13.5" customHeight="1">
      <c r="A52" s="3"/>
      <c r="B52" s="29"/>
      <c r="C52" s="42"/>
      <c r="D52" s="42"/>
      <c r="E52" s="42"/>
      <c r="F52" s="42"/>
      <c r="G52" s="42"/>
      <c r="H52" s="42"/>
      <c r="I52" s="29"/>
      <c r="J52" s="3"/>
      <c r="K52" s="29"/>
      <c r="L52" s="42"/>
      <c r="M52" s="42"/>
      <c r="N52" s="42"/>
      <c r="O52" s="42"/>
      <c r="P52" s="42"/>
      <c r="Q52" s="42"/>
      <c r="R52" s="29"/>
      <c r="S52" s="3"/>
      <c r="T52" s="29"/>
      <c r="U52" s="42"/>
      <c r="V52" s="42"/>
      <c r="W52" s="42"/>
      <c r="X52" s="42"/>
      <c r="Y52" s="42"/>
      <c r="Z52" s="42"/>
      <c r="AA52" s="29"/>
      <c r="AB52" s="3"/>
    </row>
    <row r="53" ht="6.75" customHeight="1">
      <c r="A53" s="3"/>
      <c r="B53" s="29"/>
      <c r="C53" s="29"/>
      <c r="D53" s="29"/>
      <c r="E53" s="29"/>
      <c r="F53" s="29"/>
      <c r="G53" s="29"/>
      <c r="H53" s="29"/>
      <c r="I53" s="29"/>
      <c r="J53" s="3"/>
      <c r="K53" s="29"/>
      <c r="L53" s="29"/>
      <c r="M53" s="29"/>
      <c r="N53" s="29"/>
      <c r="O53" s="29"/>
      <c r="P53" s="29"/>
      <c r="Q53" s="29"/>
      <c r="R53" s="29"/>
      <c r="S53" s="3"/>
      <c r="T53" s="29"/>
      <c r="U53" s="29"/>
      <c r="V53" s="29"/>
      <c r="W53" s="29"/>
      <c r="X53" s="29"/>
      <c r="Y53" s="29"/>
      <c r="Z53" s="29"/>
      <c r="AA53" s="29"/>
      <c r="AB53" s="3"/>
    </row>
    <row r="54" ht="25.5" customHeight="1">
      <c r="A54" s="3"/>
      <c r="B54" s="29"/>
      <c r="C54" s="45" t="str">
        <f>IF('アプリ登録'!$B$22="","",IF('アプリ登録'!$E$22="","準備中",HYPERLINK('アプリ登録'!$E$22,"開く  ↗")))</f>
      </c>
      <c r="D54" s="45"/>
      <c r="E54" s="45"/>
      <c r="F54" s="45"/>
      <c r="G54" s="45"/>
      <c r="H54" s="45"/>
      <c r="I54" s="29"/>
      <c r="J54" s="3"/>
      <c r="K54" s="29"/>
      <c r="L54" s="45" t="str">
        <f>IF('アプリ登録'!$B$23="","",IF('アプリ登録'!$E$23="","準備中",HYPERLINK('アプリ登録'!$E$23,"開く  ↗")))</f>
      </c>
      <c r="M54" s="45"/>
      <c r="N54" s="45"/>
      <c r="O54" s="45"/>
      <c r="P54" s="45"/>
      <c r="Q54" s="45"/>
      <c r="R54" s="29"/>
      <c r="S54" s="3"/>
      <c r="T54" s="29"/>
      <c r="U54" s="45" t="str">
        <f>IF('アプリ登録'!$B$24="","",IF('アプリ登録'!$E$24="","準備中",HYPERLINK('アプリ登録'!$E$24,"開く  ↗")))</f>
      </c>
      <c r="V54" s="45"/>
      <c r="W54" s="45"/>
      <c r="X54" s="45"/>
      <c r="Y54" s="45"/>
      <c r="Z54" s="45"/>
      <c r="AA54" s="29"/>
      <c r="AB54" s="3"/>
    </row>
    <row r="55" ht="9" customHeight="1">
      <c r="A55" s="3"/>
      <c r="B55" s="29"/>
      <c r="C55" s="29"/>
      <c r="D55" s="29"/>
      <c r="E55" s="29"/>
      <c r="F55" s="29"/>
      <c r="G55" s="29"/>
      <c r="H55" s="29"/>
      <c r="I55" s="29"/>
      <c r="J55" s="3"/>
      <c r="K55" s="29"/>
      <c r="L55" s="29"/>
      <c r="M55" s="29"/>
      <c r="N55" s="29"/>
      <c r="O55" s="29"/>
      <c r="P55" s="29"/>
      <c r="Q55" s="29"/>
      <c r="R55" s="29"/>
      <c r="S55" s="3"/>
      <c r="T55" s="29"/>
      <c r="U55" s="29"/>
      <c r="V55" s="29"/>
      <c r="W55" s="29"/>
      <c r="X55" s="29"/>
      <c r="Y55" s="29"/>
      <c r="Z55" s="29"/>
      <c r="AA55" s="29"/>
      <c r="AB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row>
    <row r="57" ht="6.75" customHeight="1">
      <c r="A57" s="3"/>
      <c r="B57" s="29"/>
      <c r="C57" s="29"/>
      <c r="D57" s="29"/>
      <c r="E57" s="29"/>
      <c r="F57" s="29"/>
      <c r="G57" s="29"/>
      <c r="H57" s="29"/>
      <c r="I57" s="29"/>
      <c r="J57" s="3"/>
      <c r="K57" s="29"/>
      <c r="L57" s="29"/>
      <c r="M57" s="29"/>
      <c r="N57" s="29"/>
      <c r="O57" s="29"/>
      <c r="P57" s="29"/>
      <c r="Q57" s="29"/>
      <c r="R57" s="29"/>
      <c r="S57" s="3"/>
      <c r="T57" s="29"/>
      <c r="U57" s="29"/>
      <c r="V57" s="29"/>
      <c r="W57" s="29"/>
      <c r="X57" s="29"/>
      <c r="Y57" s="29"/>
      <c r="Z57" s="29"/>
      <c r="AA57" s="29"/>
      <c r="AB57" s="3"/>
    </row>
    <row r="58" ht="30" customHeight="1">
      <c r="A58" s="3"/>
      <c r="B58" s="29"/>
      <c r="C58" s="33" t="str">
        <f>IF('アプリ登録'!$B$25="","",IF('アプリ登録'!$F$25="",LEFT('アプリ登録'!$B$25,1),'アプリ登録'!$F$25))</f>
      </c>
      <c r="D58" s="29"/>
      <c r="E58" s="36" t="str">
        <f>IF('アプリ登録'!$B$25="","",IF('アプリ登録'!$D$25="","アプリ",'アプリ登録'!$D$25))</f>
      </c>
      <c r="F58" s="36"/>
      <c r="G58" s="36"/>
      <c r="H58" s="36"/>
      <c r="I58" s="29"/>
      <c r="J58" s="3"/>
      <c r="K58" s="29"/>
      <c r="L58" s="49" t="str">
        <f>IF('アプリ登録'!$B$26="","",IF('アプリ登録'!$F$26="",LEFT('アプリ登録'!$B$26,1),'アプリ登録'!$F$26))</f>
      </c>
      <c r="M58" s="29"/>
      <c r="N58" s="52" t="str">
        <f>IF('アプリ登録'!$B$26="","",IF('アプリ登録'!$D$26="","アプリ",'アプリ登録'!$D$26))</f>
      </c>
      <c r="O58" s="52"/>
      <c r="P58" s="52"/>
      <c r="Q58" s="52"/>
      <c r="R58" s="29"/>
      <c r="S58" s="3"/>
      <c r="T58" s="29"/>
      <c r="U58" s="56" t="str">
        <f>IF('アプリ登録'!$B$27="","",IF('アプリ登録'!$F$27="",LEFT('アプリ登録'!$B$27,1),'アプリ登録'!$F$27))</f>
      </c>
      <c r="V58" s="29"/>
      <c r="W58" s="59" t="str">
        <f>IF('アプリ登録'!$B$27="","",IF('アプリ登録'!$D$27="","アプリ",'アプリ登録'!$D$27))</f>
      </c>
      <c r="X58" s="59"/>
      <c r="Y58" s="59"/>
      <c r="Z58" s="59"/>
      <c r="AA58" s="29"/>
      <c r="AB58" s="3"/>
    </row>
    <row r="59" ht="5.25" customHeight="1">
      <c r="A59" s="3"/>
      <c r="B59" s="29"/>
      <c r="C59" s="33"/>
      <c r="D59" s="29"/>
      <c r="E59" s="36"/>
      <c r="F59" s="36"/>
      <c r="G59" s="36"/>
      <c r="H59" s="36"/>
      <c r="I59" s="29"/>
      <c r="J59" s="3"/>
      <c r="K59" s="29"/>
      <c r="L59" s="49"/>
      <c r="M59" s="29"/>
      <c r="N59" s="52"/>
      <c r="O59" s="52"/>
      <c r="P59" s="52"/>
      <c r="Q59" s="52"/>
      <c r="R59" s="29"/>
      <c r="S59" s="3"/>
      <c r="T59" s="29"/>
      <c r="U59" s="56"/>
      <c r="V59" s="29"/>
      <c r="W59" s="59"/>
      <c r="X59" s="59"/>
      <c r="Y59" s="59"/>
      <c r="Z59" s="59"/>
      <c r="AA59" s="29"/>
      <c r="AB59" s="3"/>
    </row>
    <row r="60" ht="21" customHeight="1">
      <c r="A60" s="3"/>
      <c r="B60" s="29"/>
      <c r="C60" s="39" t="str">
        <f>IF('アプリ登録'!$B$25="","",'アプリ登録'!$B$25)</f>
      </c>
      <c r="D60" s="39"/>
      <c r="E60" s="39"/>
      <c r="F60" s="39"/>
      <c r="G60" s="39"/>
      <c r="H60" s="39"/>
      <c r="I60" s="29"/>
      <c r="J60" s="3"/>
      <c r="K60" s="29"/>
      <c r="L60" s="39" t="str">
        <f>IF('アプリ登録'!$B$26="","",'アプリ登録'!$B$26)</f>
      </c>
      <c r="M60" s="39"/>
      <c r="N60" s="39"/>
      <c r="O60" s="39"/>
      <c r="P60" s="39"/>
      <c r="Q60" s="39"/>
      <c r="R60" s="29"/>
      <c r="S60" s="3"/>
      <c r="T60" s="29"/>
      <c r="U60" s="39" t="str">
        <f>IF('アプリ登録'!$B$27="","",'アプリ登録'!$B$27)</f>
      </c>
      <c r="V60" s="39"/>
      <c r="W60" s="39"/>
      <c r="X60" s="39"/>
      <c r="Y60" s="39"/>
      <c r="Z60" s="39"/>
      <c r="AA60" s="29"/>
      <c r="AB60" s="3"/>
    </row>
    <row r="61" ht="21" customHeight="1">
      <c r="A61" s="3"/>
      <c r="B61" s="29"/>
      <c r="C61" s="39"/>
      <c r="D61" s="39"/>
      <c r="E61" s="39"/>
      <c r="F61" s="39"/>
      <c r="G61" s="39"/>
      <c r="H61" s="39"/>
      <c r="I61" s="29"/>
      <c r="J61" s="3"/>
      <c r="K61" s="29"/>
      <c r="L61" s="39"/>
      <c r="M61" s="39"/>
      <c r="N61" s="39"/>
      <c r="O61" s="39"/>
      <c r="P61" s="39"/>
      <c r="Q61" s="39"/>
      <c r="R61" s="29"/>
      <c r="S61" s="3"/>
      <c r="T61" s="29"/>
      <c r="U61" s="39"/>
      <c r="V61" s="39"/>
      <c r="W61" s="39"/>
      <c r="X61" s="39"/>
      <c r="Y61" s="39"/>
      <c r="Z61" s="39"/>
      <c r="AA61" s="29"/>
      <c r="AB61" s="3"/>
    </row>
    <row r="62" ht="13.5" customHeight="1">
      <c r="A62" s="3"/>
      <c r="B62" s="29"/>
      <c r="C62" s="42" t="str">
        <f>IF('アプリ登録'!$B$25="","",'アプリ登録'!$C$25)</f>
      </c>
      <c r="D62" s="42"/>
      <c r="E62" s="42"/>
      <c r="F62" s="42"/>
      <c r="G62" s="42"/>
      <c r="H62" s="42"/>
      <c r="I62" s="29"/>
      <c r="J62" s="3"/>
      <c r="K62" s="29"/>
      <c r="L62" s="42" t="str">
        <f>IF('アプリ登録'!$B$26="","",'アプリ登録'!$C$26)</f>
      </c>
      <c r="M62" s="42"/>
      <c r="N62" s="42"/>
      <c r="O62" s="42"/>
      <c r="P62" s="42"/>
      <c r="Q62" s="42"/>
      <c r="R62" s="29"/>
      <c r="S62" s="3"/>
      <c r="T62" s="29"/>
      <c r="U62" s="42" t="str">
        <f>IF('アプリ登録'!$B$27="","",'アプリ登録'!$C$27)</f>
      </c>
      <c r="V62" s="42"/>
      <c r="W62" s="42"/>
      <c r="X62" s="42"/>
      <c r="Y62" s="42"/>
      <c r="Z62" s="42"/>
      <c r="AA62" s="29"/>
      <c r="AB62" s="3"/>
    </row>
    <row r="63" ht="13.5" customHeight="1">
      <c r="A63" s="3"/>
      <c r="B63" s="29"/>
      <c r="C63" s="42"/>
      <c r="D63" s="42"/>
      <c r="E63" s="42"/>
      <c r="F63" s="42"/>
      <c r="G63" s="42"/>
      <c r="H63" s="42"/>
      <c r="I63" s="29"/>
      <c r="J63" s="3"/>
      <c r="K63" s="29"/>
      <c r="L63" s="42"/>
      <c r="M63" s="42"/>
      <c r="N63" s="42"/>
      <c r="O63" s="42"/>
      <c r="P63" s="42"/>
      <c r="Q63" s="42"/>
      <c r="R63" s="29"/>
      <c r="S63" s="3"/>
      <c r="T63" s="29"/>
      <c r="U63" s="42"/>
      <c r="V63" s="42"/>
      <c r="W63" s="42"/>
      <c r="X63" s="42"/>
      <c r="Y63" s="42"/>
      <c r="Z63" s="42"/>
      <c r="AA63" s="29"/>
      <c r="AB63" s="3"/>
    </row>
    <row r="64" ht="13.5" customHeight="1">
      <c r="A64" s="3"/>
      <c r="B64" s="29"/>
      <c r="C64" s="42"/>
      <c r="D64" s="42"/>
      <c r="E64" s="42"/>
      <c r="F64" s="42"/>
      <c r="G64" s="42"/>
      <c r="H64" s="42"/>
      <c r="I64" s="29"/>
      <c r="J64" s="3"/>
      <c r="K64" s="29"/>
      <c r="L64" s="42"/>
      <c r="M64" s="42"/>
      <c r="N64" s="42"/>
      <c r="O64" s="42"/>
      <c r="P64" s="42"/>
      <c r="Q64" s="42"/>
      <c r="R64" s="29"/>
      <c r="S64" s="3"/>
      <c r="T64" s="29"/>
      <c r="U64" s="42"/>
      <c r="V64" s="42"/>
      <c r="W64" s="42"/>
      <c r="X64" s="42"/>
      <c r="Y64" s="42"/>
      <c r="Z64" s="42"/>
      <c r="AA64" s="29"/>
      <c r="AB64" s="3"/>
    </row>
    <row r="65" ht="6.75" customHeight="1">
      <c r="A65" s="3"/>
      <c r="B65" s="29"/>
      <c r="C65" s="29"/>
      <c r="D65" s="29"/>
      <c r="E65" s="29"/>
      <c r="F65" s="29"/>
      <c r="G65" s="29"/>
      <c r="H65" s="29"/>
      <c r="I65" s="29"/>
      <c r="J65" s="3"/>
      <c r="K65" s="29"/>
      <c r="L65" s="29"/>
      <c r="M65" s="29"/>
      <c r="N65" s="29"/>
      <c r="O65" s="29"/>
      <c r="P65" s="29"/>
      <c r="Q65" s="29"/>
      <c r="R65" s="29"/>
      <c r="S65" s="3"/>
      <c r="T65" s="29"/>
      <c r="U65" s="29"/>
      <c r="V65" s="29"/>
      <c r="W65" s="29"/>
      <c r="X65" s="29"/>
      <c r="Y65" s="29"/>
      <c r="Z65" s="29"/>
      <c r="AA65" s="29"/>
      <c r="AB65" s="3"/>
    </row>
    <row r="66" ht="25.5" customHeight="1">
      <c r="A66" s="3"/>
      <c r="B66" s="29"/>
      <c r="C66" s="45" t="str">
        <f>IF('アプリ登録'!$B$25="","",IF('アプリ登録'!$E$25="","準備中",HYPERLINK('アプリ登録'!$E$25,"開く  ↗")))</f>
      </c>
      <c r="D66" s="45"/>
      <c r="E66" s="45"/>
      <c r="F66" s="45"/>
      <c r="G66" s="45"/>
      <c r="H66" s="45"/>
      <c r="I66" s="29"/>
      <c r="J66" s="3"/>
      <c r="K66" s="29"/>
      <c r="L66" s="45" t="str">
        <f>IF('アプリ登録'!$B$26="","",IF('アプリ登録'!$E$26="","準備中",HYPERLINK('アプリ登録'!$E$26,"開く  ↗")))</f>
      </c>
      <c r="M66" s="45"/>
      <c r="N66" s="45"/>
      <c r="O66" s="45"/>
      <c r="P66" s="45"/>
      <c r="Q66" s="45"/>
      <c r="R66" s="29"/>
      <c r="S66" s="3"/>
      <c r="T66" s="29"/>
      <c r="U66" s="45" t="str">
        <f>IF('アプリ登録'!$B$27="","",IF('アプリ登録'!$E$27="","準備中",HYPERLINK('アプリ登録'!$E$27,"開く  ↗")))</f>
      </c>
      <c r="V66" s="45"/>
      <c r="W66" s="45"/>
      <c r="X66" s="45"/>
      <c r="Y66" s="45"/>
      <c r="Z66" s="45"/>
      <c r="AA66" s="29"/>
      <c r="AB66" s="3"/>
    </row>
    <row r="67" ht="9" customHeight="1">
      <c r="A67" s="3"/>
      <c r="B67" s="29"/>
      <c r="C67" s="29"/>
      <c r="D67" s="29"/>
      <c r="E67" s="29"/>
      <c r="F67" s="29"/>
      <c r="G67" s="29"/>
      <c r="H67" s="29"/>
      <c r="I67" s="29"/>
      <c r="J67" s="3"/>
      <c r="K67" s="29"/>
      <c r="L67" s="29"/>
      <c r="M67" s="29"/>
      <c r="N67" s="29"/>
      <c r="O67" s="29"/>
      <c r="P67" s="29"/>
      <c r="Q67" s="29"/>
      <c r="R67" s="29"/>
      <c r="S67" s="3"/>
      <c r="T67" s="29"/>
      <c r="U67" s="29"/>
      <c r="V67" s="29"/>
      <c r="W67" s="29"/>
      <c r="X67" s="29"/>
      <c r="Y67" s="29"/>
      <c r="Z67" s="29"/>
      <c r="AA67" s="29"/>
      <c r="AB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row>
    <row r="69" ht="6.75" customHeight="1">
      <c r="A69" s="3"/>
      <c r="B69" s="29"/>
      <c r="C69" s="29"/>
      <c r="D69" s="29"/>
      <c r="E69" s="29"/>
      <c r="F69" s="29"/>
      <c r="G69" s="29"/>
      <c r="H69" s="29"/>
      <c r="I69" s="29"/>
      <c r="J69" s="3"/>
      <c r="K69" s="29"/>
      <c r="L69" s="29"/>
      <c r="M69" s="29"/>
      <c r="N69" s="29"/>
      <c r="O69" s="29"/>
      <c r="P69" s="29"/>
      <c r="Q69" s="29"/>
      <c r="R69" s="29"/>
      <c r="S69" s="3"/>
      <c r="T69" s="29"/>
      <c r="U69" s="29"/>
      <c r="V69" s="29"/>
      <c r="W69" s="29"/>
      <c r="X69" s="29"/>
      <c r="Y69" s="29"/>
      <c r="Z69" s="29"/>
      <c r="AA69" s="29"/>
      <c r="AB69" s="3"/>
    </row>
    <row r="70" ht="30" customHeight="1">
      <c r="A70" s="3"/>
      <c r="B70" s="29"/>
      <c r="C70" s="63" t="str">
        <f>IF('アプリ登録'!$B$28="","",IF('アプリ登録'!$F$28="",LEFT('アプリ登録'!$B$28,1),'アプリ登録'!$F$28))</f>
      </c>
      <c r="D70" s="29"/>
      <c r="E70" s="66" t="str">
        <f>IF('アプリ登録'!$B$28="","",IF('アプリ登録'!$D$28="","アプリ",'アプリ登録'!$D$28))</f>
      </c>
      <c r="F70" s="66"/>
      <c r="G70" s="66"/>
      <c r="H70" s="66"/>
      <c r="I70" s="29"/>
      <c r="J70" s="3"/>
      <c r="K70" s="29"/>
      <c r="L70" s="70" t="str">
        <f>IF('アプリ登録'!$B$29="","",IF('アプリ登録'!$F$29="",LEFT('アプリ登録'!$B$29,1),'アプリ登録'!$F$29))</f>
      </c>
      <c r="M70" s="29"/>
      <c r="N70" s="73" t="str">
        <f>IF('アプリ登録'!$B$29="","",IF('アプリ登録'!$D$29="","アプリ",'アプリ登録'!$D$29))</f>
      </c>
      <c r="O70" s="73"/>
      <c r="P70" s="73"/>
      <c r="Q70" s="73"/>
      <c r="R70" s="29"/>
      <c r="S70" s="3"/>
      <c r="T70" s="29"/>
      <c r="U70" s="77" t="str">
        <f>IF('アプリ登録'!$B$30="","",IF('アプリ登録'!$F$30="",LEFT('アプリ登録'!$B$30,1),'アプリ登録'!$F$30))</f>
      </c>
      <c r="V70" s="29"/>
      <c r="W70" s="80" t="str">
        <f>IF('アプリ登録'!$B$30="","",IF('アプリ登録'!$D$30="","アプリ",'アプリ登録'!$D$30))</f>
      </c>
      <c r="X70" s="80"/>
      <c r="Y70" s="80"/>
      <c r="Z70" s="80"/>
      <c r="AA70" s="29"/>
      <c r="AB70" s="3"/>
    </row>
    <row r="71" ht="5.25" customHeight="1">
      <c r="A71" s="3"/>
      <c r="B71" s="29"/>
      <c r="C71" s="63"/>
      <c r="D71" s="29"/>
      <c r="E71" s="66"/>
      <c r="F71" s="66"/>
      <c r="G71" s="66"/>
      <c r="H71" s="66"/>
      <c r="I71" s="29"/>
      <c r="J71" s="3"/>
      <c r="K71" s="29"/>
      <c r="L71" s="70"/>
      <c r="M71" s="29"/>
      <c r="N71" s="73"/>
      <c r="O71" s="73"/>
      <c r="P71" s="73"/>
      <c r="Q71" s="73"/>
      <c r="R71" s="29"/>
      <c r="S71" s="3"/>
      <c r="T71" s="29"/>
      <c r="U71" s="77"/>
      <c r="V71" s="29"/>
      <c r="W71" s="80"/>
      <c r="X71" s="80"/>
      <c r="Y71" s="80"/>
      <c r="Z71" s="80"/>
      <c r="AA71" s="29"/>
      <c r="AB71" s="3"/>
    </row>
    <row r="72" ht="21" customHeight="1">
      <c r="A72" s="3"/>
      <c r="B72" s="29"/>
      <c r="C72" s="39" t="str">
        <f>IF('アプリ登録'!$B$28="","",'アプリ登録'!$B$28)</f>
      </c>
      <c r="D72" s="39"/>
      <c r="E72" s="39"/>
      <c r="F72" s="39"/>
      <c r="G72" s="39"/>
      <c r="H72" s="39"/>
      <c r="I72" s="29"/>
      <c r="J72" s="3"/>
      <c r="K72" s="29"/>
      <c r="L72" s="39" t="str">
        <f>IF('アプリ登録'!$B$29="","",'アプリ登録'!$B$29)</f>
      </c>
      <c r="M72" s="39"/>
      <c r="N72" s="39"/>
      <c r="O72" s="39"/>
      <c r="P72" s="39"/>
      <c r="Q72" s="39"/>
      <c r="R72" s="29"/>
      <c r="S72" s="3"/>
      <c r="T72" s="29"/>
      <c r="U72" s="39" t="str">
        <f>IF('アプリ登録'!$B$30="","",'アプリ登録'!$B$30)</f>
      </c>
      <c r="V72" s="39"/>
      <c r="W72" s="39"/>
      <c r="X72" s="39"/>
      <c r="Y72" s="39"/>
      <c r="Z72" s="39"/>
      <c r="AA72" s="29"/>
      <c r="AB72" s="3"/>
    </row>
    <row r="73" ht="21" customHeight="1">
      <c r="A73" s="3"/>
      <c r="B73" s="29"/>
      <c r="C73" s="39"/>
      <c r="D73" s="39"/>
      <c r="E73" s="39"/>
      <c r="F73" s="39"/>
      <c r="G73" s="39"/>
      <c r="H73" s="39"/>
      <c r="I73" s="29"/>
      <c r="J73" s="3"/>
      <c r="K73" s="29"/>
      <c r="L73" s="39"/>
      <c r="M73" s="39"/>
      <c r="N73" s="39"/>
      <c r="O73" s="39"/>
      <c r="P73" s="39"/>
      <c r="Q73" s="39"/>
      <c r="R73" s="29"/>
      <c r="S73" s="3"/>
      <c r="T73" s="29"/>
      <c r="U73" s="39"/>
      <c r="V73" s="39"/>
      <c r="W73" s="39"/>
      <c r="X73" s="39"/>
      <c r="Y73" s="39"/>
      <c r="Z73" s="39"/>
      <c r="AA73" s="29"/>
      <c r="AB73" s="3"/>
    </row>
    <row r="74" ht="13.5" customHeight="1">
      <c r="A74" s="3"/>
      <c r="B74" s="29"/>
      <c r="C74" s="42" t="str">
        <f>IF('アプリ登録'!$B$28="","",'アプリ登録'!$C$28)</f>
      </c>
      <c r="D74" s="42"/>
      <c r="E74" s="42"/>
      <c r="F74" s="42"/>
      <c r="G74" s="42"/>
      <c r="H74" s="42"/>
      <c r="I74" s="29"/>
      <c r="J74" s="3"/>
      <c r="K74" s="29"/>
      <c r="L74" s="42" t="str">
        <f>IF('アプリ登録'!$B$29="","",'アプリ登録'!$C$29)</f>
      </c>
      <c r="M74" s="42"/>
      <c r="N74" s="42"/>
      <c r="O74" s="42"/>
      <c r="P74" s="42"/>
      <c r="Q74" s="42"/>
      <c r="R74" s="29"/>
      <c r="S74" s="3"/>
      <c r="T74" s="29"/>
      <c r="U74" s="42" t="str">
        <f>IF('アプリ登録'!$B$30="","",'アプリ登録'!$C$30)</f>
      </c>
      <c r="V74" s="42"/>
      <c r="W74" s="42"/>
      <c r="X74" s="42"/>
      <c r="Y74" s="42"/>
      <c r="Z74" s="42"/>
      <c r="AA74" s="29"/>
      <c r="AB74" s="3"/>
    </row>
    <row r="75" ht="13.5" customHeight="1">
      <c r="A75" s="3"/>
      <c r="B75" s="29"/>
      <c r="C75" s="42"/>
      <c r="D75" s="42"/>
      <c r="E75" s="42"/>
      <c r="F75" s="42"/>
      <c r="G75" s="42"/>
      <c r="H75" s="42"/>
      <c r="I75" s="29"/>
      <c r="J75" s="3"/>
      <c r="K75" s="29"/>
      <c r="L75" s="42"/>
      <c r="M75" s="42"/>
      <c r="N75" s="42"/>
      <c r="O75" s="42"/>
      <c r="P75" s="42"/>
      <c r="Q75" s="42"/>
      <c r="R75" s="29"/>
      <c r="S75" s="3"/>
      <c r="T75" s="29"/>
      <c r="U75" s="42"/>
      <c r="V75" s="42"/>
      <c r="W75" s="42"/>
      <c r="X75" s="42"/>
      <c r="Y75" s="42"/>
      <c r="Z75" s="42"/>
      <c r="AA75" s="29"/>
      <c r="AB75" s="3"/>
    </row>
    <row r="76" ht="13.5" customHeight="1">
      <c r="A76" s="3"/>
      <c r="B76" s="29"/>
      <c r="C76" s="42"/>
      <c r="D76" s="42"/>
      <c r="E76" s="42"/>
      <c r="F76" s="42"/>
      <c r="G76" s="42"/>
      <c r="H76" s="42"/>
      <c r="I76" s="29"/>
      <c r="J76" s="3"/>
      <c r="K76" s="29"/>
      <c r="L76" s="42"/>
      <c r="M76" s="42"/>
      <c r="N76" s="42"/>
      <c r="O76" s="42"/>
      <c r="P76" s="42"/>
      <c r="Q76" s="42"/>
      <c r="R76" s="29"/>
      <c r="S76" s="3"/>
      <c r="T76" s="29"/>
      <c r="U76" s="42"/>
      <c r="V76" s="42"/>
      <c r="W76" s="42"/>
      <c r="X76" s="42"/>
      <c r="Y76" s="42"/>
      <c r="Z76" s="42"/>
      <c r="AA76" s="29"/>
      <c r="AB76" s="3"/>
    </row>
    <row r="77" ht="6.75" customHeight="1">
      <c r="A77" s="3"/>
      <c r="B77" s="29"/>
      <c r="C77" s="29"/>
      <c r="D77" s="29"/>
      <c r="E77" s="29"/>
      <c r="F77" s="29"/>
      <c r="G77" s="29"/>
      <c r="H77" s="29"/>
      <c r="I77" s="29"/>
      <c r="J77" s="3"/>
      <c r="K77" s="29"/>
      <c r="L77" s="29"/>
      <c r="M77" s="29"/>
      <c r="N77" s="29"/>
      <c r="O77" s="29"/>
      <c r="P77" s="29"/>
      <c r="Q77" s="29"/>
      <c r="R77" s="29"/>
      <c r="S77" s="3"/>
      <c r="T77" s="29"/>
      <c r="U77" s="29"/>
      <c r="V77" s="29"/>
      <c r="W77" s="29"/>
      <c r="X77" s="29"/>
      <c r="Y77" s="29"/>
      <c r="Z77" s="29"/>
      <c r="AA77" s="29"/>
      <c r="AB77" s="3"/>
    </row>
    <row r="78" ht="25.5" customHeight="1">
      <c r="A78" s="3"/>
      <c r="B78" s="29"/>
      <c r="C78" s="45" t="str">
        <f>IF('アプリ登録'!$B$28="","",IF('アプリ登録'!$E$28="","準備中",HYPERLINK('アプリ登録'!$E$28,"開く  ↗")))</f>
      </c>
      <c r="D78" s="45"/>
      <c r="E78" s="45"/>
      <c r="F78" s="45"/>
      <c r="G78" s="45"/>
      <c r="H78" s="45"/>
      <c r="I78" s="29"/>
      <c r="J78" s="3"/>
      <c r="K78" s="29"/>
      <c r="L78" s="45" t="str">
        <f>IF('アプリ登録'!$B$29="","",IF('アプリ登録'!$E$29="","準備中",HYPERLINK('アプリ登録'!$E$29,"開く  ↗")))</f>
      </c>
      <c r="M78" s="45"/>
      <c r="N78" s="45"/>
      <c r="O78" s="45"/>
      <c r="P78" s="45"/>
      <c r="Q78" s="45"/>
      <c r="R78" s="29"/>
      <c r="S78" s="3"/>
      <c r="T78" s="29"/>
      <c r="U78" s="45" t="str">
        <f>IF('アプリ登録'!$B$30="","",IF('アプリ登録'!$E$30="","準備中",HYPERLINK('アプリ登録'!$E$30,"開く  ↗")))</f>
      </c>
      <c r="V78" s="45"/>
      <c r="W78" s="45"/>
      <c r="X78" s="45"/>
      <c r="Y78" s="45"/>
      <c r="Z78" s="45"/>
      <c r="AA78" s="29"/>
      <c r="AB78" s="3"/>
    </row>
    <row r="79" ht="9" customHeight="1">
      <c r="A79" s="3"/>
      <c r="B79" s="29"/>
      <c r="C79" s="29"/>
      <c r="D79" s="29"/>
      <c r="E79" s="29"/>
      <c r="F79" s="29"/>
      <c r="G79" s="29"/>
      <c r="H79" s="29"/>
      <c r="I79" s="29"/>
      <c r="J79" s="3"/>
      <c r="K79" s="29"/>
      <c r="L79" s="29"/>
      <c r="M79" s="29"/>
      <c r="N79" s="29"/>
      <c r="O79" s="29"/>
      <c r="P79" s="29"/>
      <c r="Q79" s="29"/>
      <c r="R79" s="29"/>
      <c r="S79" s="3"/>
      <c r="T79" s="29"/>
      <c r="U79" s="29"/>
      <c r="V79" s="29"/>
      <c r="W79" s="29"/>
      <c r="X79" s="29"/>
      <c r="Y79" s="29"/>
      <c r="Z79" s="29"/>
      <c r="AA79" s="29"/>
      <c r="AB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row>
    <row r="81" ht="6.75" customHeight="1">
      <c r="A81" s="3"/>
      <c r="B81" s="29"/>
      <c r="C81" s="29"/>
      <c r="D81" s="29"/>
      <c r="E81" s="29"/>
      <c r="F81" s="29"/>
      <c r="G81" s="29"/>
      <c r="H81" s="29"/>
      <c r="I81" s="29"/>
      <c r="J81" s="3"/>
      <c r="K81" s="29"/>
      <c r="L81" s="29"/>
      <c r="M81" s="29"/>
      <c r="N81" s="29"/>
      <c r="O81" s="29"/>
      <c r="P81" s="29"/>
      <c r="Q81" s="29"/>
      <c r="R81" s="29"/>
      <c r="S81" s="3"/>
      <c r="T81" s="29"/>
      <c r="U81" s="29"/>
      <c r="V81" s="29"/>
      <c r="W81" s="29"/>
      <c r="X81" s="29"/>
      <c r="Y81" s="29"/>
      <c r="Z81" s="29"/>
      <c r="AA81" s="29"/>
      <c r="AB81" s="3"/>
    </row>
    <row r="82" ht="30" customHeight="1">
      <c r="A82" s="3"/>
      <c r="B82" s="29"/>
      <c r="C82" s="33" t="str">
        <f>IF('アプリ登録'!$B$31="","",IF('アプリ登録'!$F$31="",LEFT('アプリ登録'!$B$31,1),'アプリ登録'!$F$31))</f>
      </c>
      <c r="D82" s="29"/>
      <c r="E82" s="36" t="str">
        <f>IF('アプリ登録'!$B$31="","",IF('アプリ登録'!$D$31="","アプリ",'アプリ登録'!$D$31))</f>
      </c>
      <c r="F82" s="36"/>
      <c r="G82" s="36"/>
      <c r="H82" s="36"/>
      <c r="I82" s="29"/>
      <c r="J82" s="3"/>
      <c r="K82" s="29"/>
      <c r="L82" s="49" t="str">
        <f>IF('アプリ登録'!$B$32="","",IF('アプリ登録'!$F$32="",LEFT('アプリ登録'!$B$32,1),'アプリ登録'!$F$32))</f>
      </c>
      <c r="M82" s="29"/>
      <c r="N82" s="52" t="str">
        <f>IF('アプリ登録'!$B$32="","",IF('アプリ登録'!$D$32="","アプリ",'アプリ登録'!$D$32))</f>
      </c>
      <c r="O82" s="52"/>
      <c r="P82" s="52"/>
      <c r="Q82" s="52"/>
      <c r="R82" s="29"/>
      <c r="S82" s="3"/>
      <c r="T82" s="29"/>
      <c r="U82" s="56" t="str">
        <f>IF('アプリ登録'!$B$33="","",IF('アプリ登録'!$F$33="",LEFT('アプリ登録'!$B$33,1),'アプリ登録'!$F$33))</f>
      </c>
      <c r="V82" s="29"/>
      <c r="W82" s="59" t="str">
        <f>IF('アプリ登録'!$B$33="","",IF('アプリ登録'!$D$33="","アプリ",'アプリ登録'!$D$33))</f>
      </c>
      <c r="X82" s="59"/>
      <c r="Y82" s="59"/>
      <c r="Z82" s="59"/>
      <c r="AA82" s="29"/>
      <c r="AB82" s="3"/>
    </row>
    <row r="83" ht="5.25" customHeight="1">
      <c r="A83" s="3"/>
      <c r="B83" s="29"/>
      <c r="C83" s="33"/>
      <c r="D83" s="29"/>
      <c r="E83" s="36"/>
      <c r="F83" s="36"/>
      <c r="G83" s="36"/>
      <c r="H83" s="36"/>
      <c r="I83" s="29"/>
      <c r="J83" s="3"/>
      <c r="K83" s="29"/>
      <c r="L83" s="49"/>
      <c r="M83" s="29"/>
      <c r="N83" s="52"/>
      <c r="O83" s="52"/>
      <c r="P83" s="52"/>
      <c r="Q83" s="52"/>
      <c r="R83" s="29"/>
      <c r="S83" s="3"/>
      <c r="T83" s="29"/>
      <c r="U83" s="56"/>
      <c r="V83" s="29"/>
      <c r="W83" s="59"/>
      <c r="X83" s="59"/>
      <c r="Y83" s="59"/>
      <c r="Z83" s="59"/>
      <c r="AA83" s="29"/>
      <c r="AB83" s="3"/>
    </row>
    <row r="84" ht="21" customHeight="1">
      <c r="A84" s="3"/>
      <c r="B84" s="29"/>
      <c r="C84" s="39" t="str">
        <f>IF('アプリ登録'!$B$31="","",'アプリ登録'!$B$31)</f>
      </c>
      <c r="D84" s="39"/>
      <c r="E84" s="39"/>
      <c r="F84" s="39"/>
      <c r="G84" s="39"/>
      <c r="H84" s="39"/>
      <c r="I84" s="29"/>
      <c r="J84" s="3"/>
      <c r="K84" s="29"/>
      <c r="L84" s="39" t="str">
        <f>IF('アプリ登録'!$B$32="","",'アプリ登録'!$B$32)</f>
      </c>
      <c r="M84" s="39"/>
      <c r="N84" s="39"/>
      <c r="O84" s="39"/>
      <c r="P84" s="39"/>
      <c r="Q84" s="39"/>
      <c r="R84" s="29"/>
      <c r="S84" s="3"/>
      <c r="T84" s="29"/>
      <c r="U84" s="39" t="str">
        <f>IF('アプリ登録'!$B$33="","",'アプリ登録'!$B$33)</f>
      </c>
      <c r="V84" s="39"/>
      <c r="W84" s="39"/>
      <c r="X84" s="39"/>
      <c r="Y84" s="39"/>
      <c r="Z84" s="39"/>
      <c r="AA84" s="29"/>
      <c r="AB84" s="3"/>
    </row>
    <row r="85" ht="21" customHeight="1">
      <c r="A85" s="3"/>
      <c r="B85" s="29"/>
      <c r="C85" s="39"/>
      <c r="D85" s="39"/>
      <c r="E85" s="39"/>
      <c r="F85" s="39"/>
      <c r="G85" s="39"/>
      <c r="H85" s="39"/>
      <c r="I85" s="29"/>
      <c r="J85" s="3"/>
      <c r="K85" s="29"/>
      <c r="L85" s="39"/>
      <c r="M85" s="39"/>
      <c r="N85" s="39"/>
      <c r="O85" s="39"/>
      <c r="P85" s="39"/>
      <c r="Q85" s="39"/>
      <c r="R85" s="29"/>
      <c r="S85" s="3"/>
      <c r="T85" s="29"/>
      <c r="U85" s="39"/>
      <c r="V85" s="39"/>
      <c r="W85" s="39"/>
      <c r="X85" s="39"/>
      <c r="Y85" s="39"/>
      <c r="Z85" s="39"/>
      <c r="AA85" s="29"/>
      <c r="AB85" s="3"/>
    </row>
    <row r="86" ht="13.5" customHeight="1">
      <c r="A86" s="3"/>
      <c r="B86" s="29"/>
      <c r="C86" s="42" t="str">
        <f>IF('アプリ登録'!$B$31="","",'アプリ登録'!$C$31)</f>
      </c>
      <c r="D86" s="42"/>
      <c r="E86" s="42"/>
      <c r="F86" s="42"/>
      <c r="G86" s="42"/>
      <c r="H86" s="42"/>
      <c r="I86" s="29"/>
      <c r="J86" s="3"/>
      <c r="K86" s="29"/>
      <c r="L86" s="42" t="str">
        <f>IF('アプリ登録'!$B$32="","",'アプリ登録'!$C$32)</f>
      </c>
      <c r="M86" s="42"/>
      <c r="N86" s="42"/>
      <c r="O86" s="42"/>
      <c r="P86" s="42"/>
      <c r="Q86" s="42"/>
      <c r="R86" s="29"/>
      <c r="S86" s="3"/>
      <c r="T86" s="29"/>
      <c r="U86" s="42" t="str">
        <f>IF('アプリ登録'!$B$33="","",'アプリ登録'!$C$33)</f>
      </c>
      <c r="V86" s="42"/>
      <c r="W86" s="42"/>
      <c r="X86" s="42"/>
      <c r="Y86" s="42"/>
      <c r="Z86" s="42"/>
      <c r="AA86" s="29"/>
      <c r="AB86" s="3"/>
    </row>
    <row r="87" ht="13.5" customHeight="1">
      <c r="A87" s="3"/>
      <c r="B87" s="29"/>
      <c r="C87" s="42"/>
      <c r="D87" s="42"/>
      <c r="E87" s="42"/>
      <c r="F87" s="42"/>
      <c r="G87" s="42"/>
      <c r="H87" s="42"/>
      <c r="I87" s="29"/>
      <c r="J87" s="3"/>
      <c r="K87" s="29"/>
      <c r="L87" s="42"/>
      <c r="M87" s="42"/>
      <c r="N87" s="42"/>
      <c r="O87" s="42"/>
      <c r="P87" s="42"/>
      <c r="Q87" s="42"/>
      <c r="R87" s="29"/>
      <c r="S87" s="3"/>
      <c r="T87" s="29"/>
      <c r="U87" s="42"/>
      <c r="V87" s="42"/>
      <c r="W87" s="42"/>
      <c r="X87" s="42"/>
      <c r="Y87" s="42"/>
      <c r="Z87" s="42"/>
      <c r="AA87" s="29"/>
      <c r="AB87" s="3"/>
    </row>
    <row r="88" ht="13.5" customHeight="1">
      <c r="A88" s="3"/>
      <c r="B88" s="29"/>
      <c r="C88" s="42"/>
      <c r="D88" s="42"/>
      <c r="E88" s="42"/>
      <c r="F88" s="42"/>
      <c r="G88" s="42"/>
      <c r="H88" s="42"/>
      <c r="I88" s="29"/>
      <c r="J88" s="3"/>
      <c r="K88" s="29"/>
      <c r="L88" s="42"/>
      <c r="M88" s="42"/>
      <c r="N88" s="42"/>
      <c r="O88" s="42"/>
      <c r="P88" s="42"/>
      <c r="Q88" s="42"/>
      <c r="R88" s="29"/>
      <c r="S88" s="3"/>
      <c r="T88" s="29"/>
      <c r="U88" s="42"/>
      <c r="V88" s="42"/>
      <c r="W88" s="42"/>
      <c r="X88" s="42"/>
      <c r="Y88" s="42"/>
      <c r="Z88" s="42"/>
      <c r="AA88" s="29"/>
      <c r="AB88" s="3"/>
    </row>
    <row r="89" ht="6.75" customHeight="1">
      <c r="A89" s="3"/>
      <c r="B89" s="29"/>
      <c r="C89" s="29"/>
      <c r="D89" s="29"/>
      <c r="E89" s="29"/>
      <c r="F89" s="29"/>
      <c r="G89" s="29"/>
      <c r="H89" s="29"/>
      <c r="I89" s="29"/>
      <c r="J89" s="3"/>
      <c r="K89" s="29"/>
      <c r="L89" s="29"/>
      <c r="M89" s="29"/>
      <c r="N89" s="29"/>
      <c r="O89" s="29"/>
      <c r="P89" s="29"/>
      <c r="Q89" s="29"/>
      <c r="R89" s="29"/>
      <c r="S89" s="3"/>
      <c r="T89" s="29"/>
      <c r="U89" s="29"/>
      <c r="V89" s="29"/>
      <c r="W89" s="29"/>
      <c r="X89" s="29"/>
      <c r="Y89" s="29"/>
      <c r="Z89" s="29"/>
      <c r="AA89" s="29"/>
      <c r="AB89" s="3"/>
    </row>
    <row r="90" ht="25.5" customHeight="1">
      <c r="A90" s="3"/>
      <c r="B90" s="29"/>
      <c r="C90" s="45" t="str">
        <f>IF('アプリ登録'!$B$31="","",IF('アプリ登録'!$E$31="","準備中",HYPERLINK('アプリ登録'!$E$31,"開く  ↗")))</f>
      </c>
      <c r="D90" s="45"/>
      <c r="E90" s="45"/>
      <c r="F90" s="45"/>
      <c r="G90" s="45"/>
      <c r="H90" s="45"/>
      <c r="I90" s="29"/>
      <c r="J90" s="3"/>
      <c r="K90" s="29"/>
      <c r="L90" s="45" t="str">
        <f>IF('アプリ登録'!$B$32="","",IF('アプリ登録'!$E$32="","準備中",HYPERLINK('アプリ登録'!$E$32,"開く  ↗")))</f>
      </c>
      <c r="M90" s="45"/>
      <c r="N90" s="45"/>
      <c r="O90" s="45"/>
      <c r="P90" s="45"/>
      <c r="Q90" s="45"/>
      <c r="R90" s="29"/>
      <c r="S90" s="3"/>
      <c r="T90" s="29"/>
      <c r="U90" s="45" t="str">
        <f>IF('アプリ登録'!$B$33="","",IF('アプリ登録'!$E$33="","準備中",HYPERLINK('アプリ登録'!$E$33,"開く  ↗")))</f>
      </c>
      <c r="V90" s="45"/>
      <c r="W90" s="45"/>
      <c r="X90" s="45"/>
      <c r="Y90" s="45"/>
      <c r="Z90" s="45"/>
      <c r="AA90" s="29"/>
      <c r="AB90" s="3"/>
    </row>
    <row r="91" ht="9" customHeight="1">
      <c r="A91" s="3"/>
      <c r="B91" s="29"/>
      <c r="C91" s="29"/>
      <c r="D91" s="29"/>
      <c r="E91" s="29"/>
      <c r="F91" s="29"/>
      <c r="G91" s="29"/>
      <c r="H91" s="29"/>
      <c r="I91" s="29"/>
      <c r="J91" s="3"/>
      <c r="K91" s="29"/>
      <c r="L91" s="29"/>
      <c r="M91" s="29"/>
      <c r="N91" s="29"/>
      <c r="O91" s="29"/>
      <c r="P91" s="29"/>
      <c r="Q91" s="29"/>
      <c r="R91" s="29"/>
      <c r="S91" s="3"/>
      <c r="T91" s="29"/>
      <c r="U91" s="29"/>
      <c r="V91" s="29"/>
      <c r="W91" s="29"/>
      <c r="X91" s="29"/>
      <c r="Y91" s="29"/>
      <c r="Z91" s="29"/>
      <c r="AA91" s="29"/>
      <c r="AB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row>
    <row r="93" ht="6.75" customHeight="1">
      <c r="A93" s="3"/>
      <c r="B93" s="29"/>
      <c r="C93" s="29"/>
      <c r="D93" s="29"/>
      <c r="E93" s="29"/>
      <c r="F93" s="29"/>
      <c r="G93" s="29"/>
      <c r="H93" s="29"/>
      <c r="I93" s="29"/>
      <c r="J93" s="3"/>
      <c r="K93" s="29"/>
      <c r="L93" s="29"/>
      <c r="M93" s="29"/>
      <c r="N93" s="29"/>
      <c r="O93" s="29"/>
      <c r="P93" s="29"/>
      <c r="Q93" s="29"/>
      <c r="R93" s="29"/>
      <c r="S93" s="3"/>
      <c r="T93" s="29"/>
      <c r="U93" s="29"/>
      <c r="V93" s="29"/>
      <c r="W93" s="29"/>
      <c r="X93" s="29"/>
      <c r="Y93" s="29"/>
      <c r="Z93" s="29"/>
      <c r="AA93" s="29"/>
      <c r="AB93" s="3"/>
    </row>
    <row r="94" ht="30" customHeight="1">
      <c r="A94" s="3"/>
      <c r="B94" s="29"/>
      <c r="C94" s="63" t="str">
        <f>IF('アプリ登録'!$B$34="","",IF('アプリ登録'!$F$34="",LEFT('アプリ登録'!$B$34,1),'アプリ登録'!$F$34))</f>
      </c>
      <c r="D94" s="29"/>
      <c r="E94" s="66" t="str">
        <f>IF('アプリ登録'!$B$34="","",IF('アプリ登録'!$D$34="","アプリ",'アプリ登録'!$D$34))</f>
      </c>
      <c r="F94" s="66"/>
      <c r="G94" s="66"/>
      <c r="H94" s="66"/>
      <c r="I94" s="29"/>
      <c r="J94" s="3"/>
      <c r="K94" s="29"/>
      <c r="L94" s="70" t="str">
        <f>IF('アプリ登録'!$B$35="","",IF('アプリ登録'!$F$35="",LEFT('アプリ登録'!$B$35,1),'アプリ登録'!$F$35))</f>
      </c>
      <c r="M94" s="29"/>
      <c r="N94" s="73" t="str">
        <f>IF('アプリ登録'!$B$35="","",IF('アプリ登録'!$D$35="","アプリ",'アプリ登録'!$D$35))</f>
      </c>
      <c r="O94" s="73"/>
      <c r="P94" s="73"/>
      <c r="Q94" s="73"/>
      <c r="R94" s="29"/>
      <c r="S94" s="3"/>
      <c r="T94" s="29"/>
      <c r="U94" s="77" t="str">
        <f>IF('アプリ登録'!$B$36="","",IF('アプリ登録'!$F$36="",LEFT('アプリ登録'!$B$36,1),'アプリ登録'!$F$36))</f>
      </c>
      <c r="V94" s="29"/>
      <c r="W94" s="80" t="str">
        <f>IF('アプリ登録'!$B$36="","",IF('アプリ登録'!$D$36="","アプリ",'アプリ登録'!$D$36))</f>
      </c>
      <c r="X94" s="80"/>
      <c r="Y94" s="80"/>
      <c r="Z94" s="80"/>
      <c r="AA94" s="29"/>
      <c r="AB94" s="3"/>
    </row>
    <row r="95" ht="5.25" customHeight="1">
      <c r="A95" s="3"/>
      <c r="B95" s="29"/>
      <c r="C95" s="63"/>
      <c r="D95" s="29"/>
      <c r="E95" s="66"/>
      <c r="F95" s="66"/>
      <c r="G95" s="66"/>
      <c r="H95" s="66"/>
      <c r="I95" s="29"/>
      <c r="J95" s="3"/>
      <c r="K95" s="29"/>
      <c r="L95" s="70"/>
      <c r="M95" s="29"/>
      <c r="N95" s="73"/>
      <c r="O95" s="73"/>
      <c r="P95" s="73"/>
      <c r="Q95" s="73"/>
      <c r="R95" s="29"/>
      <c r="S95" s="3"/>
      <c r="T95" s="29"/>
      <c r="U95" s="77"/>
      <c r="V95" s="29"/>
      <c r="W95" s="80"/>
      <c r="X95" s="80"/>
      <c r="Y95" s="80"/>
      <c r="Z95" s="80"/>
      <c r="AA95" s="29"/>
      <c r="AB95" s="3"/>
    </row>
    <row r="96" ht="21" customHeight="1">
      <c r="A96" s="3"/>
      <c r="B96" s="29"/>
      <c r="C96" s="39" t="str">
        <f>IF('アプリ登録'!$B$34="","",'アプリ登録'!$B$34)</f>
      </c>
      <c r="D96" s="39"/>
      <c r="E96" s="39"/>
      <c r="F96" s="39"/>
      <c r="G96" s="39"/>
      <c r="H96" s="39"/>
      <c r="I96" s="29"/>
      <c r="J96" s="3"/>
      <c r="K96" s="29"/>
      <c r="L96" s="39" t="str">
        <f>IF('アプリ登録'!$B$35="","",'アプリ登録'!$B$35)</f>
      </c>
      <c r="M96" s="39"/>
      <c r="N96" s="39"/>
      <c r="O96" s="39"/>
      <c r="P96" s="39"/>
      <c r="Q96" s="39"/>
      <c r="R96" s="29"/>
      <c r="S96" s="3"/>
      <c r="T96" s="29"/>
      <c r="U96" s="39" t="str">
        <f>IF('アプリ登録'!$B$36="","",'アプリ登録'!$B$36)</f>
      </c>
      <c r="V96" s="39"/>
      <c r="W96" s="39"/>
      <c r="X96" s="39"/>
      <c r="Y96" s="39"/>
      <c r="Z96" s="39"/>
      <c r="AA96" s="29"/>
      <c r="AB96" s="3"/>
    </row>
    <row r="97" ht="21" customHeight="1">
      <c r="A97" s="3"/>
      <c r="B97" s="29"/>
      <c r="C97" s="39"/>
      <c r="D97" s="39"/>
      <c r="E97" s="39"/>
      <c r="F97" s="39"/>
      <c r="G97" s="39"/>
      <c r="H97" s="39"/>
      <c r="I97" s="29"/>
      <c r="J97" s="3"/>
      <c r="K97" s="29"/>
      <c r="L97" s="39"/>
      <c r="M97" s="39"/>
      <c r="N97" s="39"/>
      <c r="O97" s="39"/>
      <c r="P97" s="39"/>
      <c r="Q97" s="39"/>
      <c r="R97" s="29"/>
      <c r="S97" s="3"/>
      <c r="T97" s="29"/>
      <c r="U97" s="39"/>
      <c r="V97" s="39"/>
      <c r="W97" s="39"/>
      <c r="X97" s="39"/>
      <c r="Y97" s="39"/>
      <c r="Z97" s="39"/>
      <c r="AA97" s="29"/>
      <c r="AB97" s="3"/>
    </row>
    <row r="98" ht="13.5" customHeight="1">
      <c r="A98" s="3"/>
      <c r="B98" s="29"/>
      <c r="C98" s="42" t="str">
        <f>IF('アプリ登録'!$B$34="","",'アプリ登録'!$C$34)</f>
      </c>
      <c r="D98" s="42"/>
      <c r="E98" s="42"/>
      <c r="F98" s="42"/>
      <c r="G98" s="42"/>
      <c r="H98" s="42"/>
      <c r="I98" s="29"/>
      <c r="J98" s="3"/>
      <c r="K98" s="29"/>
      <c r="L98" s="42" t="str">
        <f>IF('アプリ登録'!$B$35="","",'アプリ登録'!$C$35)</f>
      </c>
      <c r="M98" s="42"/>
      <c r="N98" s="42"/>
      <c r="O98" s="42"/>
      <c r="P98" s="42"/>
      <c r="Q98" s="42"/>
      <c r="R98" s="29"/>
      <c r="S98" s="3"/>
      <c r="T98" s="29"/>
      <c r="U98" s="42" t="str">
        <f>IF('アプリ登録'!$B$36="","",'アプリ登録'!$C$36)</f>
      </c>
      <c r="V98" s="42"/>
      <c r="W98" s="42"/>
      <c r="X98" s="42"/>
      <c r="Y98" s="42"/>
      <c r="Z98" s="42"/>
      <c r="AA98" s="29"/>
      <c r="AB98" s="3"/>
    </row>
    <row r="99" ht="13.5" customHeight="1">
      <c r="A99" s="3"/>
      <c r="B99" s="29"/>
      <c r="C99" s="42"/>
      <c r="D99" s="42"/>
      <c r="E99" s="42"/>
      <c r="F99" s="42"/>
      <c r="G99" s="42"/>
      <c r="H99" s="42"/>
      <c r="I99" s="29"/>
      <c r="J99" s="3"/>
      <c r="K99" s="29"/>
      <c r="L99" s="42"/>
      <c r="M99" s="42"/>
      <c r="N99" s="42"/>
      <c r="O99" s="42"/>
      <c r="P99" s="42"/>
      <c r="Q99" s="42"/>
      <c r="R99" s="29"/>
      <c r="S99" s="3"/>
      <c r="T99" s="29"/>
      <c r="U99" s="42"/>
      <c r="V99" s="42"/>
      <c r="W99" s="42"/>
      <c r="X99" s="42"/>
      <c r="Y99" s="42"/>
      <c r="Z99" s="42"/>
      <c r="AA99" s="29"/>
      <c r="AB99" s="3"/>
    </row>
    <row r="100" ht="13.5" customHeight="1">
      <c r="A100" s="3"/>
      <c r="B100" s="29"/>
      <c r="C100" s="42"/>
      <c r="D100" s="42"/>
      <c r="E100" s="42"/>
      <c r="F100" s="42"/>
      <c r="G100" s="42"/>
      <c r="H100" s="42"/>
      <c r="I100" s="29"/>
      <c r="J100" s="3"/>
      <c r="K100" s="29"/>
      <c r="L100" s="42"/>
      <c r="M100" s="42"/>
      <c r="N100" s="42"/>
      <c r="O100" s="42"/>
      <c r="P100" s="42"/>
      <c r="Q100" s="42"/>
      <c r="R100" s="29"/>
      <c r="S100" s="3"/>
      <c r="T100" s="29"/>
      <c r="U100" s="42"/>
      <c r="V100" s="42"/>
      <c r="W100" s="42"/>
      <c r="X100" s="42"/>
      <c r="Y100" s="42"/>
      <c r="Z100" s="42"/>
      <c r="AA100" s="29"/>
      <c r="AB100" s="3"/>
    </row>
    <row r="101" ht="6.75" customHeight="1">
      <c r="A101" s="3"/>
      <c r="B101" s="29"/>
      <c r="C101" s="29"/>
      <c r="D101" s="29"/>
      <c r="E101" s="29"/>
      <c r="F101" s="29"/>
      <c r="G101" s="29"/>
      <c r="H101" s="29"/>
      <c r="I101" s="29"/>
      <c r="J101" s="3"/>
      <c r="K101" s="29"/>
      <c r="L101" s="29"/>
      <c r="M101" s="29"/>
      <c r="N101" s="29"/>
      <c r="O101" s="29"/>
      <c r="P101" s="29"/>
      <c r="Q101" s="29"/>
      <c r="R101" s="29"/>
      <c r="S101" s="3"/>
      <c r="T101" s="29"/>
      <c r="U101" s="29"/>
      <c r="V101" s="29"/>
      <c r="W101" s="29"/>
      <c r="X101" s="29"/>
      <c r="Y101" s="29"/>
      <c r="Z101" s="29"/>
      <c r="AA101" s="29"/>
      <c r="AB101" s="3"/>
    </row>
    <row r="102" ht="25.5" customHeight="1">
      <c r="A102" s="3"/>
      <c r="B102" s="29"/>
      <c r="C102" s="45" t="str">
        <f>IF('アプリ登録'!$B$34="","",IF('アプリ登録'!$E$34="","準備中",HYPERLINK('アプリ登録'!$E$34,"開く  ↗")))</f>
      </c>
      <c r="D102" s="45"/>
      <c r="E102" s="45"/>
      <c r="F102" s="45"/>
      <c r="G102" s="45"/>
      <c r="H102" s="45"/>
      <c r="I102" s="29"/>
      <c r="J102" s="3"/>
      <c r="K102" s="29"/>
      <c r="L102" s="45" t="str">
        <f>IF('アプリ登録'!$B$35="","",IF('アプリ登録'!$E$35="","準備中",HYPERLINK('アプリ登録'!$E$35,"開く  ↗")))</f>
      </c>
      <c r="M102" s="45"/>
      <c r="N102" s="45"/>
      <c r="O102" s="45"/>
      <c r="P102" s="45"/>
      <c r="Q102" s="45"/>
      <c r="R102" s="29"/>
      <c r="S102" s="3"/>
      <c r="T102" s="29"/>
      <c r="U102" s="45" t="str">
        <f>IF('アプリ登録'!$B$36="","",IF('アプリ登録'!$E$36="","準備中",HYPERLINK('アプリ登録'!$E$36,"開く  ↗")))</f>
      </c>
      <c r="V102" s="45"/>
      <c r="W102" s="45"/>
      <c r="X102" s="45"/>
      <c r="Y102" s="45"/>
      <c r="Z102" s="45"/>
      <c r="AA102" s="29"/>
      <c r="AB102" s="3"/>
    </row>
    <row r="103" ht="9" customHeight="1">
      <c r="A103" s="3"/>
      <c r="B103" s="29"/>
      <c r="C103" s="29"/>
      <c r="D103" s="29"/>
      <c r="E103" s="29"/>
      <c r="F103" s="29"/>
      <c r="G103" s="29"/>
      <c r="H103" s="29"/>
      <c r="I103" s="29"/>
      <c r="J103" s="3"/>
      <c r="K103" s="29"/>
      <c r="L103" s="29"/>
      <c r="M103" s="29"/>
      <c r="N103" s="29"/>
      <c r="O103" s="29"/>
      <c r="P103" s="29"/>
      <c r="Q103" s="29"/>
      <c r="R103" s="29"/>
      <c r="S103" s="3"/>
      <c r="T103" s="29"/>
      <c r="U103" s="29"/>
      <c r="V103" s="29"/>
      <c r="W103" s="29"/>
      <c r="X103" s="29"/>
      <c r="Y103" s="29"/>
      <c r="Z103" s="29"/>
      <c r="AA103" s="29"/>
      <c r="AB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sheetData>
  <sheetProtection sheet="1" objects="1" scenarios="1" selectLockedCells="0" selectUnlockedCells="0"/>
  <mergeCells>
    <mergeCell ref="B2:I2"/>
    <mergeCell ref="B3:I3"/>
    <mergeCell ref="K2:R3"/>
    <mergeCell ref="U3:AA3"/>
    <mergeCell ref="B5:R5"/>
    <mergeCell ref="T5:AA5"/>
    <mergeCell ref="B6:F7"/>
    <mergeCell ref="G6:AA7"/>
    <mergeCell ref="C10:C11"/>
    <mergeCell ref="E10:H11"/>
    <mergeCell ref="C12:H13"/>
    <mergeCell ref="C14:H16"/>
    <mergeCell ref="C18:H18"/>
    <mergeCell ref="L10:L11"/>
    <mergeCell ref="N10:Q11"/>
    <mergeCell ref="L12:Q13"/>
    <mergeCell ref="L14:Q16"/>
    <mergeCell ref="L18:Q18"/>
    <mergeCell ref="U10:U11"/>
    <mergeCell ref="W10:Z11"/>
    <mergeCell ref="U12:Z13"/>
    <mergeCell ref="U14:Z16"/>
    <mergeCell ref="U18:Z18"/>
    <mergeCell ref="C22:C23"/>
    <mergeCell ref="E22:H23"/>
    <mergeCell ref="C24:H25"/>
    <mergeCell ref="C26:H28"/>
    <mergeCell ref="C30:H30"/>
    <mergeCell ref="L22:L23"/>
    <mergeCell ref="N22:Q23"/>
    <mergeCell ref="L24:Q25"/>
    <mergeCell ref="L26:Q28"/>
    <mergeCell ref="L30:Q30"/>
    <mergeCell ref="U22:U23"/>
    <mergeCell ref="W22:Z23"/>
    <mergeCell ref="U24:Z25"/>
    <mergeCell ref="U26:Z28"/>
    <mergeCell ref="U30:Z30"/>
    <mergeCell ref="C34:C35"/>
    <mergeCell ref="E34:H35"/>
    <mergeCell ref="C36:H37"/>
    <mergeCell ref="C38:H40"/>
    <mergeCell ref="C42:H42"/>
    <mergeCell ref="L34:L35"/>
    <mergeCell ref="N34:Q35"/>
    <mergeCell ref="L36:Q37"/>
    <mergeCell ref="L38:Q40"/>
    <mergeCell ref="L42:Q42"/>
    <mergeCell ref="U34:U35"/>
    <mergeCell ref="W34:Z35"/>
    <mergeCell ref="U36:Z37"/>
    <mergeCell ref="U38:Z40"/>
    <mergeCell ref="U42:Z42"/>
    <mergeCell ref="C46:C47"/>
    <mergeCell ref="E46:H47"/>
    <mergeCell ref="C48:H49"/>
    <mergeCell ref="C50:H52"/>
    <mergeCell ref="C54:H54"/>
    <mergeCell ref="L46:L47"/>
    <mergeCell ref="N46:Q47"/>
    <mergeCell ref="L48:Q49"/>
    <mergeCell ref="L50:Q52"/>
    <mergeCell ref="L54:Q54"/>
    <mergeCell ref="U46:U47"/>
    <mergeCell ref="W46:Z47"/>
    <mergeCell ref="U48:Z49"/>
    <mergeCell ref="U50:Z52"/>
    <mergeCell ref="U54:Z54"/>
    <mergeCell ref="C58:C59"/>
    <mergeCell ref="E58:H59"/>
    <mergeCell ref="C60:H61"/>
    <mergeCell ref="C62:H64"/>
    <mergeCell ref="C66:H66"/>
    <mergeCell ref="L58:L59"/>
    <mergeCell ref="N58:Q59"/>
    <mergeCell ref="L60:Q61"/>
    <mergeCell ref="L62:Q64"/>
    <mergeCell ref="L66:Q66"/>
    <mergeCell ref="U58:U59"/>
    <mergeCell ref="W58:Z59"/>
    <mergeCell ref="U60:Z61"/>
    <mergeCell ref="U62:Z64"/>
    <mergeCell ref="U66:Z66"/>
    <mergeCell ref="C70:C71"/>
    <mergeCell ref="E70:H71"/>
    <mergeCell ref="C72:H73"/>
    <mergeCell ref="C74:H76"/>
    <mergeCell ref="C78:H78"/>
    <mergeCell ref="L70:L71"/>
    <mergeCell ref="N70:Q71"/>
    <mergeCell ref="L72:Q73"/>
    <mergeCell ref="L74:Q76"/>
    <mergeCell ref="L78:Q78"/>
    <mergeCell ref="U70:U71"/>
    <mergeCell ref="W70:Z71"/>
    <mergeCell ref="U72:Z73"/>
    <mergeCell ref="U74:Z76"/>
    <mergeCell ref="U78:Z78"/>
    <mergeCell ref="C82:C83"/>
    <mergeCell ref="E82:H83"/>
    <mergeCell ref="C84:H85"/>
    <mergeCell ref="C86:H88"/>
    <mergeCell ref="C90:H90"/>
    <mergeCell ref="L82:L83"/>
    <mergeCell ref="N82:Q83"/>
    <mergeCell ref="L84:Q85"/>
    <mergeCell ref="L86:Q88"/>
    <mergeCell ref="L90:Q90"/>
    <mergeCell ref="U82:U83"/>
    <mergeCell ref="W82:Z83"/>
    <mergeCell ref="U84:Z85"/>
    <mergeCell ref="U86:Z88"/>
    <mergeCell ref="U90:Z90"/>
    <mergeCell ref="C94:C95"/>
    <mergeCell ref="E94:H95"/>
    <mergeCell ref="C96:H97"/>
    <mergeCell ref="C98:H100"/>
    <mergeCell ref="C102:H102"/>
    <mergeCell ref="L94:L95"/>
    <mergeCell ref="N94:Q95"/>
    <mergeCell ref="L96:Q97"/>
    <mergeCell ref="L98:Q100"/>
    <mergeCell ref="L102:Q102"/>
    <mergeCell ref="U94:U95"/>
    <mergeCell ref="W94:Z95"/>
    <mergeCell ref="U96:Z97"/>
    <mergeCell ref="U98:Z100"/>
    <mergeCell ref="U102:Z102"/>
  </mergeCells>
  <conditionalFormatting sqref="B9:I19">
    <cfRule type="expression" dxfId="0" priority="1">
      <formula>$C$12=""</formula>
    </cfRule>
  </conditionalFormatting>
  <conditionalFormatting sqref="C18:H18">
    <cfRule type="expression" dxfId="1" priority="2">
      <formula>$C$18="開く  ↗"</formula>
    </cfRule>
    <cfRule type="expression" dxfId="2" priority="3">
      <formula>$C$18="準備中"</formula>
    </cfRule>
  </conditionalFormatting>
  <conditionalFormatting sqref="K9:R19">
    <cfRule type="expression" dxfId="3" priority="4">
      <formula>$L$12=""</formula>
    </cfRule>
  </conditionalFormatting>
  <conditionalFormatting sqref="L18:Q18">
    <cfRule type="expression" dxfId="4" priority="5">
      <formula>$L$18="開く  ↗"</formula>
    </cfRule>
    <cfRule type="expression" dxfId="5" priority="6">
      <formula>$L$18="準備中"</formula>
    </cfRule>
  </conditionalFormatting>
  <conditionalFormatting sqref="T9:AA19">
    <cfRule type="expression" dxfId="6" priority="7">
      <formula>$U$12=""</formula>
    </cfRule>
  </conditionalFormatting>
  <conditionalFormatting sqref="U18:Z18">
    <cfRule type="expression" dxfId="7" priority="8">
      <formula>$U$18="開く  ↗"</formula>
    </cfRule>
    <cfRule type="expression" dxfId="8" priority="9">
      <formula>$U$18="準備中"</formula>
    </cfRule>
  </conditionalFormatting>
  <conditionalFormatting sqref="B21:I31">
    <cfRule type="expression" dxfId="9" priority="10">
      <formula>$C$24=""</formula>
    </cfRule>
  </conditionalFormatting>
  <conditionalFormatting sqref="C30:H30">
    <cfRule type="expression" dxfId="10" priority="11">
      <formula>$C$30="開く  ↗"</formula>
    </cfRule>
    <cfRule type="expression" dxfId="11" priority="12">
      <formula>$C$30="準備中"</formula>
    </cfRule>
  </conditionalFormatting>
  <conditionalFormatting sqref="K21:R31">
    <cfRule type="expression" dxfId="12" priority="13">
      <formula>$L$24=""</formula>
    </cfRule>
  </conditionalFormatting>
  <conditionalFormatting sqref="L30:Q30">
    <cfRule type="expression" dxfId="13" priority="14">
      <formula>$L$30="開く  ↗"</formula>
    </cfRule>
    <cfRule type="expression" dxfId="14" priority="15">
      <formula>$L$30="準備中"</formula>
    </cfRule>
  </conditionalFormatting>
  <conditionalFormatting sqref="T21:AA31">
    <cfRule type="expression" dxfId="15" priority="16">
      <formula>$U$24=""</formula>
    </cfRule>
  </conditionalFormatting>
  <conditionalFormatting sqref="U30:Z30">
    <cfRule type="expression" dxfId="16" priority="17">
      <formula>$U$30="開く  ↗"</formula>
    </cfRule>
    <cfRule type="expression" dxfId="17" priority="18">
      <formula>$U$30="準備中"</formula>
    </cfRule>
  </conditionalFormatting>
  <conditionalFormatting sqref="B33:I43">
    <cfRule type="expression" dxfId="18" priority="19">
      <formula>$C$36=""</formula>
    </cfRule>
  </conditionalFormatting>
  <conditionalFormatting sqref="C42:H42">
    <cfRule type="expression" dxfId="19" priority="20">
      <formula>$C$42="開く  ↗"</formula>
    </cfRule>
    <cfRule type="expression" dxfId="20" priority="21">
      <formula>$C$42="準備中"</formula>
    </cfRule>
  </conditionalFormatting>
  <conditionalFormatting sqref="K33:R43">
    <cfRule type="expression" dxfId="21" priority="22">
      <formula>$L$36=""</formula>
    </cfRule>
  </conditionalFormatting>
  <conditionalFormatting sqref="L42:Q42">
    <cfRule type="expression" dxfId="22" priority="23">
      <formula>$L$42="開く  ↗"</formula>
    </cfRule>
    <cfRule type="expression" dxfId="23" priority="24">
      <formula>$L$42="準備中"</formula>
    </cfRule>
  </conditionalFormatting>
  <conditionalFormatting sqref="T33:AA43">
    <cfRule type="expression" dxfId="24" priority="25">
      <formula>$U$36=""</formula>
    </cfRule>
  </conditionalFormatting>
  <conditionalFormatting sqref="U42:Z42">
    <cfRule type="expression" dxfId="25" priority="26">
      <formula>$U$42="開く  ↗"</formula>
    </cfRule>
    <cfRule type="expression" dxfId="26" priority="27">
      <formula>$U$42="準備中"</formula>
    </cfRule>
  </conditionalFormatting>
  <conditionalFormatting sqref="B45:I55">
    <cfRule type="expression" dxfId="27" priority="28">
      <formula>$C$48=""</formula>
    </cfRule>
  </conditionalFormatting>
  <conditionalFormatting sqref="C54:H54">
    <cfRule type="expression" dxfId="28" priority="29">
      <formula>$C$54="開く  ↗"</formula>
    </cfRule>
    <cfRule type="expression" dxfId="29" priority="30">
      <formula>$C$54="準備中"</formula>
    </cfRule>
  </conditionalFormatting>
  <conditionalFormatting sqref="K45:R55">
    <cfRule type="expression" dxfId="30" priority="31">
      <formula>$L$48=""</formula>
    </cfRule>
  </conditionalFormatting>
  <conditionalFormatting sqref="L54:Q54">
    <cfRule type="expression" dxfId="31" priority="32">
      <formula>$L$54="開く  ↗"</formula>
    </cfRule>
    <cfRule type="expression" dxfId="32" priority="33">
      <formula>$L$54="準備中"</formula>
    </cfRule>
  </conditionalFormatting>
  <conditionalFormatting sqref="T45:AA55">
    <cfRule type="expression" dxfId="33" priority="34">
      <formula>$U$48=""</formula>
    </cfRule>
  </conditionalFormatting>
  <conditionalFormatting sqref="U54:Z54">
    <cfRule type="expression" dxfId="34" priority="35">
      <formula>$U$54="開く  ↗"</formula>
    </cfRule>
    <cfRule type="expression" dxfId="35" priority="36">
      <formula>$U$54="準備中"</formula>
    </cfRule>
  </conditionalFormatting>
  <conditionalFormatting sqref="B57:I67">
    <cfRule type="expression" dxfId="36" priority="37">
      <formula>$C$60=""</formula>
    </cfRule>
  </conditionalFormatting>
  <conditionalFormatting sqref="C66:H66">
    <cfRule type="expression" dxfId="37" priority="38">
      <formula>$C$66="開く  ↗"</formula>
    </cfRule>
    <cfRule type="expression" dxfId="38" priority="39">
      <formula>$C$66="準備中"</formula>
    </cfRule>
  </conditionalFormatting>
  <conditionalFormatting sqref="K57:R67">
    <cfRule type="expression" dxfId="39" priority="40">
      <formula>$L$60=""</formula>
    </cfRule>
  </conditionalFormatting>
  <conditionalFormatting sqref="L66:Q66">
    <cfRule type="expression" dxfId="40" priority="41">
      <formula>$L$66="開く  ↗"</formula>
    </cfRule>
    <cfRule type="expression" dxfId="41" priority="42">
      <formula>$L$66="準備中"</formula>
    </cfRule>
  </conditionalFormatting>
  <conditionalFormatting sqref="T57:AA67">
    <cfRule type="expression" dxfId="42" priority="43">
      <formula>$U$60=""</formula>
    </cfRule>
  </conditionalFormatting>
  <conditionalFormatting sqref="U66:Z66">
    <cfRule type="expression" dxfId="43" priority="44">
      <formula>$U$66="開く  ↗"</formula>
    </cfRule>
    <cfRule type="expression" dxfId="44" priority="45">
      <formula>$U$66="準備中"</formula>
    </cfRule>
  </conditionalFormatting>
  <conditionalFormatting sqref="B69:I79">
    <cfRule type="expression" dxfId="45" priority="46">
      <formula>$C$72=""</formula>
    </cfRule>
  </conditionalFormatting>
  <conditionalFormatting sqref="C78:H78">
    <cfRule type="expression" dxfId="46" priority="47">
      <formula>$C$78="開く  ↗"</formula>
    </cfRule>
    <cfRule type="expression" dxfId="47" priority="48">
      <formula>$C$78="準備中"</formula>
    </cfRule>
  </conditionalFormatting>
  <conditionalFormatting sqref="K69:R79">
    <cfRule type="expression" dxfId="48" priority="49">
      <formula>$L$72=""</formula>
    </cfRule>
  </conditionalFormatting>
  <conditionalFormatting sqref="L78:Q78">
    <cfRule type="expression" dxfId="49" priority="50">
      <formula>$L$78="開く  ↗"</formula>
    </cfRule>
    <cfRule type="expression" dxfId="50" priority="51">
      <formula>$L$78="準備中"</formula>
    </cfRule>
  </conditionalFormatting>
  <conditionalFormatting sqref="T69:AA79">
    <cfRule type="expression" dxfId="51" priority="52">
      <formula>$U$72=""</formula>
    </cfRule>
  </conditionalFormatting>
  <conditionalFormatting sqref="U78:Z78">
    <cfRule type="expression" dxfId="52" priority="53">
      <formula>$U$78="開く  ↗"</formula>
    </cfRule>
    <cfRule type="expression" dxfId="53" priority="54">
      <formula>$U$78="準備中"</formula>
    </cfRule>
  </conditionalFormatting>
  <conditionalFormatting sqref="B81:I91">
    <cfRule type="expression" dxfId="54" priority="55">
      <formula>$C$84=""</formula>
    </cfRule>
  </conditionalFormatting>
  <conditionalFormatting sqref="C90:H90">
    <cfRule type="expression" dxfId="55" priority="56">
      <formula>$C$90="開く  ↗"</formula>
    </cfRule>
    <cfRule type="expression" dxfId="56" priority="57">
      <formula>$C$90="準備中"</formula>
    </cfRule>
  </conditionalFormatting>
  <conditionalFormatting sqref="K81:R91">
    <cfRule type="expression" dxfId="57" priority="58">
      <formula>$L$84=""</formula>
    </cfRule>
  </conditionalFormatting>
  <conditionalFormatting sqref="L90:Q90">
    <cfRule type="expression" dxfId="58" priority="59">
      <formula>$L$90="開く  ↗"</formula>
    </cfRule>
    <cfRule type="expression" dxfId="59" priority="60">
      <formula>$L$90="準備中"</formula>
    </cfRule>
  </conditionalFormatting>
  <conditionalFormatting sqref="T81:AA91">
    <cfRule type="expression" dxfId="60" priority="61">
      <formula>$U$84=""</formula>
    </cfRule>
  </conditionalFormatting>
  <conditionalFormatting sqref="U90:Z90">
    <cfRule type="expression" dxfId="61" priority="62">
      <formula>$U$90="開く  ↗"</formula>
    </cfRule>
    <cfRule type="expression" dxfId="62" priority="63">
      <formula>$U$90="準備中"</formula>
    </cfRule>
  </conditionalFormatting>
  <conditionalFormatting sqref="B93:I103">
    <cfRule type="expression" dxfId="63" priority="64">
      <formula>$C$96=""</formula>
    </cfRule>
  </conditionalFormatting>
  <conditionalFormatting sqref="C102:H102">
    <cfRule type="expression" dxfId="64" priority="65">
      <formula>$C$102="開く  ↗"</formula>
    </cfRule>
    <cfRule type="expression" dxfId="65" priority="66">
      <formula>$C$102="準備中"</formula>
    </cfRule>
  </conditionalFormatting>
  <conditionalFormatting sqref="K93:R103">
    <cfRule type="expression" dxfId="66" priority="67">
      <formula>$L$96=""</formula>
    </cfRule>
  </conditionalFormatting>
  <conditionalFormatting sqref="L102:Q102">
    <cfRule type="expression" dxfId="67" priority="68">
      <formula>$L$102="開く  ↗"</formula>
    </cfRule>
    <cfRule type="expression" dxfId="68" priority="69">
      <formula>$L$102="準備中"</formula>
    </cfRule>
  </conditionalFormatting>
  <conditionalFormatting sqref="T93:AA103">
    <cfRule type="expression" dxfId="69" priority="70">
      <formula>$U$96=""</formula>
    </cfRule>
  </conditionalFormatting>
  <conditionalFormatting sqref="U102:Z102">
    <cfRule type="expression" dxfId="70" priority="71">
      <formula>$U$102="開く  ↗"</formula>
    </cfRule>
    <cfRule type="expression" dxfId="71" priority="72">
      <formula>$U$102="準備中"</formula>
    </cfRule>
  </conditionalFormatting>
  <pageMargins left="0.7" right="0.7" top="0.75" bottom="0.75" header="0.3" footer="0.3"/>
</worksheet>
</file>

<file path=xl/worksheets/sheet2.xml><?xml version="1.0" encoding="utf-8"?>
<worksheet xmlns="http://schemas.openxmlformats.org/spreadsheetml/2006/main">
  <sheetPr>
    <tabColor rgb="FF90A4AE"/>
  </sheetPr>
  <sheetViews>
    <sheetView showGridLines="0" workbookViewId="0" zoomScale="80" tabSelected="0" showRowColHeaders="1">
      <pane ySplit="12" topLeftCell="A13" activePane="bottomLeft" state="frozen"/>
    </sheetView>
  </sheetViews>
  <sheetFormatPr defaultRowHeight="15"/>
  <cols>
    <col min="1" max="1" width="5.329999923706055" hidden="0" customWidth="1"/>
    <col min="2" max="2" width="26.670000076293945" hidden="0" customWidth="1"/>
    <col min="3" max="3" width="37.779998779296875" hidden="0" customWidth="1"/>
    <col min="4" max="4" width="15.5600004196167" hidden="0" customWidth="1"/>
    <col min="5" max="5" width="53.33000183105469" hidden="0" customWidth="1"/>
    <col min="6" max="6" width="10" hidden="0" customWidth="1"/>
    <col min="7" max="7" width="15.5600004196167" hidden="0" customWidth="1"/>
  </cols>
  <sheetData>
    <row r="1" ht="9" customHeight="1">
      <c r="A1" s="83"/>
      <c r="B1" s="83"/>
      <c r="C1" s="83"/>
      <c r="D1" s="83"/>
      <c r="E1" s="83"/>
      <c r="F1" s="83"/>
      <c r="G1" s="83"/>
    </row>
    <row r="2" ht="24" customHeight="1">
      <c r="A2" s="83"/>
      <c r="B2" s="86" t="str">
        <v>アプリの登録・編集</v>
      </c>
      <c r="C2" s="86"/>
      <c r="D2" s="86"/>
      <c r="E2" s="83"/>
      <c r="F2" s="87" t="str">
        <f>HYPERLINK("#'アプリホーム'!B2","ホームに戻る  ↗")</f>
        <v>ホームに戻る  ↗</v>
      </c>
      <c r="G2" s="87"/>
    </row>
    <row r="3" ht="24" customHeight="1">
      <c r="A3" s="83"/>
      <c r="B3" s="90" t="str">
        <v>黄色の欄を編集して保存すると、ホームのカードに反映されます。並び順は下の行順です。</v>
      </c>
      <c r="C3" s="90"/>
      <c r="D3" s="90"/>
      <c r="E3" s="90"/>
      <c r="F3" s="90"/>
      <c r="G3" s="90"/>
    </row>
    <row r="4" ht="24" customHeight="1">
      <c r="A4" s="83"/>
      <c r="B4" s="83"/>
      <c r="C4" s="83"/>
      <c r="D4" s="83"/>
      <c r="E4" s="83"/>
      <c r="F4" s="83"/>
      <c r="G4" s="83"/>
    </row>
    <row r="5" ht="24" customHeight="1">
      <c r="A5" s="83"/>
      <c r="B5" s="83" t="str">
        <v>委員会から一言</v>
      </c>
      <c r="C5" s="94" t="str"/>
      <c r="D5" s="94"/>
      <c r="E5" s="94"/>
      <c r="F5" s="94"/>
      <c r="G5" s="94"/>
    </row>
    <row r="6" ht="24" customHeight="1">
      <c r="A6" s="83"/>
      <c r="B6" s="83"/>
      <c r="C6" s="94"/>
      <c r="D6" s="94"/>
      <c r="E6" s="94"/>
      <c r="F6" s="94"/>
      <c r="G6" s="94"/>
    </row>
    <row r="7" ht="24" customHeight="1">
      <c r="A7" s="83"/>
      <c r="B7" s="83"/>
      <c r="C7" s="83"/>
      <c r="D7" s="83"/>
      <c r="E7" s="83"/>
      <c r="F7" s="83"/>
      <c r="G7" s="83"/>
    </row>
    <row r="8" ht="24" customHeight="1">
      <c r="A8" s="83"/>
      <c r="B8" s="83" t="str">
        <v>進め方・進行状況のHTML</v>
      </c>
      <c r="C8" s="98" t="str">
        <v>DX活動ガイド.html</v>
      </c>
      <c r="D8" s="98"/>
      <c r="E8" s="98"/>
      <c r="F8" s="98"/>
      <c r="G8" s="98"/>
    </row>
    <row r="9" ht="24" customHeight="1">
      <c r="A9" s="83"/>
      <c r="B9" s="90" t="str">
        <v>同梱のHTMLを同じフォルダに置きます。別の場所を使う場合は、上のリンク先を変更してください。</v>
      </c>
      <c r="C9" s="90"/>
      <c r="D9" s="90"/>
      <c r="E9" s="90"/>
      <c r="F9" s="90"/>
      <c r="G9" s="90"/>
    </row>
    <row r="10" ht="24" customHeight="1">
      <c r="A10" s="83"/>
      <c r="B10" s="90" t="str">
        <v>起動先には共有元のブック（.xlsmなど）かHTMLのパスを入力します。Excelゲートはruntime内のHTMLを指定しません。</v>
      </c>
      <c r="C10" s="90"/>
      <c r="D10" s="90"/>
      <c r="E10" s="90"/>
      <c r="F10" s="90"/>
      <c r="G10" s="90"/>
    </row>
    <row r="11" ht="24" customHeight="1">
      <c r="A11" s="83"/>
      <c r="B11" s="90" t="str">
        <v>名前は28文字、説明は50文字、アイコン文字は1文字まで。パスの前後に付く引用符は外してください。</v>
      </c>
      <c r="C11" s="90"/>
      <c r="D11" s="90"/>
      <c r="E11" s="90"/>
      <c r="F11" s="90"/>
      <c r="G11" s="90"/>
    </row>
    <row r="12" ht="24" customHeight="1">
      <c r="A12" s="101" t="str">
        <v>順番</v>
      </c>
      <c r="B12" s="101" t="str">
        <v>アプリ名</v>
      </c>
      <c r="C12" s="101" t="str">
        <v>できること</v>
      </c>
      <c r="D12" s="101" t="str">
        <v>分類</v>
      </c>
      <c r="E12" s="101" t="str">
        <v>起動先</v>
      </c>
      <c r="F12" s="101" t="str">
        <v>アイコン文字</v>
      </c>
      <c r="G12" s="101" t="str">
        <v>登録状況</v>
      </c>
    </row>
    <row r="13" ht="45" customHeight="1">
      <c r="A13" s="104" t="n">
        <v>1</v>
      </c>
      <c r="B13" s="103" t="str">
        <v>引継ぎメモ</v>
      </c>
      <c r="C13" s="103" t="str">
        <v>引継ぎ事項を入力・保存・確認できます。</v>
      </c>
      <c r="D13" s="102" t="str">
        <v>記録・共有</v>
      </c>
      <c r="E13" s="102" t="str"/>
      <c r="F13" s="105" t="str">
        <v>引</v>
      </c>
      <c r="G13" s="104" t="str">
        <f>IF(B13="","未登録",IF(E13="","起動先未登録","登録済み"))</f>
        <v>起動先未登録</v>
      </c>
    </row>
    <row r="14" ht="45" customHeight="1">
      <c r="A14" s="104" t="n">
        <v>2</v>
      </c>
      <c r="B14" s="103" t="str">
        <v>地ケア・病床機能
指標モニター</v>
      </c>
      <c r="C14" s="103" t="str">
        <v>CSVから病棟・月別の指標を確認します。</v>
      </c>
      <c r="D14" s="102" t="str">
        <v>集計・確認</v>
      </c>
      <c r="E14" s="102" t="str"/>
      <c r="F14" s="105" t="str">
        <v>集</v>
      </c>
      <c r="G14" s="104" t="str">
        <f>IF(B14="","未登録",IF(E14="","起動先未登録","登録済み"))</f>
        <v>起動先未登録</v>
      </c>
    </row>
    <row r="15" ht="45" customHeight="1">
      <c r="A15" s="104" t="n">
        <v>3</v>
      </c>
      <c r="B15" s="103" t="str"/>
      <c r="C15" s="103" t="str"/>
      <c r="D15" s="102" t="str"/>
      <c r="E15" s="102" t="str"/>
      <c r="F15" s="105" t="str"/>
      <c r="G15" s="104" t="str">
        <f>IF(B15="","未登録",IF(E15="","起動先未登録","登録済み"))</f>
        <v>未登録</v>
      </c>
    </row>
    <row r="16" ht="45" customHeight="1">
      <c r="A16" s="104" t="n">
        <v>4</v>
      </c>
      <c r="B16" s="103" t="str"/>
      <c r="C16" s="103" t="str"/>
      <c r="D16" s="102" t="str"/>
      <c r="E16" s="102" t="str"/>
      <c r="F16" s="105" t="str"/>
      <c r="G16" s="104" t="str">
        <f>IF(B16="","未登録",IF(E16="","起動先未登録","登録済み"))</f>
        <v>未登録</v>
      </c>
    </row>
    <row r="17" ht="45" customHeight="1">
      <c r="A17" s="104" t="n">
        <v>5</v>
      </c>
      <c r="B17" s="103" t="str"/>
      <c r="C17" s="103" t="str"/>
      <c r="D17" s="102" t="str"/>
      <c r="E17" s="102" t="str"/>
      <c r="F17" s="105" t="str"/>
      <c r="G17" s="104" t="str">
        <f>IF(B17="","未登録",IF(E17="","起動先未登録","登録済み"))</f>
        <v>未登録</v>
      </c>
    </row>
    <row r="18" ht="45" customHeight="1">
      <c r="A18" s="104" t="n">
        <v>6</v>
      </c>
      <c r="B18" s="103" t="str"/>
      <c r="C18" s="103" t="str"/>
      <c r="D18" s="102" t="str"/>
      <c r="E18" s="102" t="str"/>
      <c r="F18" s="105" t="str"/>
      <c r="G18" s="104" t="str">
        <f>IF(B18="","未登録",IF(E18="","起動先未登録","登録済み"))</f>
        <v>未登録</v>
      </c>
    </row>
    <row r="19" ht="45" customHeight="1">
      <c r="A19" s="104" t="n">
        <v>7</v>
      </c>
      <c r="B19" s="103" t="str"/>
      <c r="C19" s="103" t="str"/>
      <c r="D19" s="102" t="str"/>
      <c r="E19" s="102" t="str"/>
      <c r="F19" s="105" t="str"/>
      <c r="G19" s="104" t="str">
        <f>IF(B19="","未登録",IF(E19="","起動先未登録","登録済み"))</f>
        <v>未登録</v>
      </c>
    </row>
    <row r="20" ht="45" customHeight="1">
      <c r="A20" s="104" t="n">
        <v>8</v>
      </c>
      <c r="B20" s="103" t="str"/>
      <c r="C20" s="103" t="str"/>
      <c r="D20" s="102" t="str"/>
      <c r="E20" s="102" t="str"/>
      <c r="F20" s="105" t="str"/>
      <c r="G20" s="104" t="str">
        <f>IF(B20="","未登録",IF(E20="","起動先未登録","登録済み"))</f>
        <v>未登録</v>
      </c>
    </row>
    <row r="21" ht="45" customHeight="1">
      <c r="A21" s="104" t="n">
        <v>9</v>
      </c>
      <c r="B21" s="103" t="str"/>
      <c r="C21" s="103" t="str"/>
      <c r="D21" s="102" t="str"/>
      <c r="E21" s="102" t="str"/>
      <c r="F21" s="105" t="str"/>
      <c r="G21" s="104" t="str">
        <f>IF(B21="","未登録",IF(E21="","起動先未登録","登録済み"))</f>
        <v>未登録</v>
      </c>
    </row>
    <row r="22" ht="45" customHeight="1">
      <c r="A22" s="104" t="n">
        <v>10</v>
      </c>
      <c r="B22" s="103" t="str"/>
      <c r="C22" s="103" t="str"/>
      <c r="D22" s="102" t="str"/>
      <c r="E22" s="102" t="str"/>
      <c r="F22" s="105" t="str"/>
      <c r="G22" s="104" t="str">
        <f>IF(B22="","未登録",IF(E22="","起動先未登録","登録済み"))</f>
        <v>未登録</v>
      </c>
    </row>
    <row r="23" ht="45" customHeight="1">
      <c r="A23" s="104" t="n">
        <v>11</v>
      </c>
      <c r="B23" s="103" t="str"/>
      <c r="C23" s="103" t="str"/>
      <c r="D23" s="102" t="str"/>
      <c r="E23" s="102" t="str"/>
      <c r="F23" s="105" t="str"/>
      <c r="G23" s="104" t="str">
        <f>IF(B23="","未登録",IF(E23="","起動先未登録","登録済み"))</f>
        <v>未登録</v>
      </c>
    </row>
    <row r="24" ht="45" customHeight="1">
      <c r="A24" s="104" t="n">
        <v>12</v>
      </c>
      <c r="B24" s="103" t="str"/>
      <c r="C24" s="103" t="str"/>
      <c r="D24" s="102" t="str"/>
      <c r="E24" s="102" t="str"/>
      <c r="F24" s="105" t="str"/>
      <c r="G24" s="104" t="str">
        <f>IF(B24="","未登録",IF(E24="","起動先未登録","登録済み"))</f>
        <v>未登録</v>
      </c>
    </row>
    <row r="25" ht="45" customHeight="1">
      <c r="A25" s="104" t="n">
        <v>13</v>
      </c>
      <c r="B25" s="103" t="str"/>
      <c r="C25" s="103" t="str"/>
      <c r="D25" s="102" t="str"/>
      <c r="E25" s="102" t="str"/>
      <c r="F25" s="105" t="str"/>
      <c r="G25" s="104" t="str">
        <f>IF(B25="","未登録",IF(E25="","起動先未登録","登録済み"))</f>
        <v>未登録</v>
      </c>
    </row>
    <row r="26" ht="45" customHeight="1">
      <c r="A26" s="104" t="n">
        <v>14</v>
      </c>
      <c r="B26" s="103" t="str"/>
      <c r="C26" s="103" t="str"/>
      <c r="D26" s="102" t="str"/>
      <c r="E26" s="102" t="str"/>
      <c r="F26" s="105" t="str"/>
      <c r="G26" s="104" t="str">
        <f>IF(B26="","未登録",IF(E26="","起動先未登録","登録済み"))</f>
        <v>未登録</v>
      </c>
    </row>
    <row r="27" ht="45" customHeight="1">
      <c r="A27" s="104" t="n">
        <v>15</v>
      </c>
      <c r="B27" s="103" t="str"/>
      <c r="C27" s="103" t="str"/>
      <c r="D27" s="102" t="str"/>
      <c r="E27" s="102" t="str"/>
      <c r="F27" s="105" t="str"/>
      <c r="G27" s="104" t="str">
        <f>IF(B27="","未登録",IF(E27="","起動先未登録","登録済み"))</f>
        <v>未登録</v>
      </c>
    </row>
    <row r="28" ht="45" customHeight="1">
      <c r="A28" s="104" t="n">
        <v>16</v>
      </c>
      <c r="B28" s="103" t="str"/>
      <c r="C28" s="103" t="str"/>
      <c r="D28" s="102" t="str"/>
      <c r="E28" s="102" t="str"/>
      <c r="F28" s="105" t="str"/>
      <c r="G28" s="104" t="str">
        <f>IF(B28="","未登録",IF(E28="","起動先未登録","登録済み"))</f>
        <v>未登録</v>
      </c>
    </row>
    <row r="29" ht="45" customHeight="1">
      <c r="A29" s="104" t="n">
        <v>17</v>
      </c>
      <c r="B29" s="103" t="str"/>
      <c r="C29" s="103" t="str"/>
      <c r="D29" s="102" t="str"/>
      <c r="E29" s="102" t="str"/>
      <c r="F29" s="105" t="str"/>
      <c r="G29" s="104" t="str">
        <f>IF(B29="","未登録",IF(E29="","起動先未登録","登録済み"))</f>
        <v>未登録</v>
      </c>
    </row>
    <row r="30" ht="45" customHeight="1">
      <c r="A30" s="104" t="n">
        <v>18</v>
      </c>
      <c r="B30" s="103" t="str"/>
      <c r="C30" s="103" t="str"/>
      <c r="D30" s="102" t="str"/>
      <c r="E30" s="102" t="str"/>
      <c r="F30" s="105" t="str"/>
      <c r="G30" s="104" t="str">
        <f>IF(B30="","未登録",IF(E30="","起動先未登録","登録済み"))</f>
        <v>未登録</v>
      </c>
    </row>
    <row r="31" ht="45" customHeight="1">
      <c r="A31" s="104" t="n">
        <v>19</v>
      </c>
      <c r="B31" s="103" t="str"/>
      <c r="C31" s="103" t="str"/>
      <c r="D31" s="102" t="str"/>
      <c r="E31" s="102" t="str"/>
      <c r="F31" s="105" t="str"/>
      <c r="G31" s="104" t="str">
        <f>IF(B31="","未登録",IF(E31="","起動先未登録","登録済み"))</f>
        <v>未登録</v>
      </c>
    </row>
    <row r="32" ht="45" customHeight="1">
      <c r="A32" s="104" t="n">
        <v>20</v>
      </c>
      <c r="B32" s="103" t="str"/>
      <c r="C32" s="103" t="str"/>
      <c r="D32" s="102" t="str"/>
      <c r="E32" s="102" t="str"/>
      <c r="F32" s="105" t="str"/>
      <c r="G32" s="104" t="str">
        <f>IF(B32="","未登録",IF(E32="","起動先未登録","登録済み"))</f>
        <v>未登録</v>
      </c>
    </row>
    <row r="33" ht="45" customHeight="1">
      <c r="A33" s="104" t="n">
        <v>21</v>
      </c>
      <c r="B33" s="103" t="str"/>
      <c r="C33" s="103" t="str"/>
      <c r="D33" s="102" t="str"/>
      <c r="E33" s="102" t="str"/>
      <c r="F33" s="105" t="str"/>
      <c r="G33" s="104" t="str">
        <f>IF(B33="","未登録",IF(E33="","起動先未登録","登録済み"))</f>
        <v>未登録</v>
      </c>
    </row>
    <row r="34" ht="45" customHeight="1">
      <c r="A34" s="104" t="n">
        <v>22</v>
      </c>
      <c r="B34" s="103" t="str"/>
      <c r="C34" s="103" t="str"/>
      <c r="D34" s="102" t="str"/>
      <c r="E34" s="102" t="str"/>
      <c r="F34" s="105" t="str"/>
      <c r="G34" s="104" t="str">
        <f>IF(B34="","未登録",IF(E34="","起動先未登録","登録済み"))</f>
        <v>未登録</v>
      </c>
    </row>
    <row r="35" ht="45" customHeight="1">
      <c r="A35" s="104" t="n">
        <v>23</v>
      </c>
      <c r="B35" s="103" t="str"/>
      <c r="C35" s="103" t="str"/>
      <c r="D35" s="102" t="str"/>
      <c r="E35" s="102" t="str"/>
      <c r="F35" s="105" t="str"/>
      <c r="G35" s="104" t="str">
        <f>IF(B35="","未登録",IF(E35="","起動先未登録","登録済み"))</f>
        <v>未登録</v>
      </c>
    </row>
    <row r="36" ht="45" customHeight="1">
      <c r="A36" s="104" t="n">
        <v>24</v>
      </c>
      <c r="B36" s="103" t="str"/>
      <c r="C36" s="103" t="str"/>
      <c r="D36" s="102" t="str"/>
      <c r="E36" s="102" t="str"/>
      <c r="F36" s="105" t="str"/>
      <c r="G36" s="104" t="str">
        <f>IF(B36="","未登録",IF(E36="","起動先未登録","登録済み"))</f>
        <v>未登録</v>
      </c>
    </row>
    <row r="37" ht="24" customHeight="1">
      <c r="A37" s="83"/>
      <c r="B37" s="83"/>
      <c r="C37" s="83"/>
      <c r="D37" s="83"/>
      <c r="E37" s="83"/>
      <c r="F37" s="83"/>
      <c r="G37" s="83"/>
    </row>
    <row r="38" ht="24" customHeight="1">
      <c r="A38" s="83"/>
      <c r="B38" s="83"/>
      <c r="C38" s="83"/>
      <c r="D38" s="83"/>
      <c r="E38" s="83"/>
      <c r="F38" s="83"/>
      <c r="G38" s="83"/>
    </row>
    <row r="39" ht="24" customHeight="1">
      <c r="A39" s="83"/>
      <c r="B39" s="90" t="str">
        <v>利用者はホームから開くだけで使えます。登録内容の変更は管理担当者が共有元のこのブックで行ってください。</v>
      </c>
      <c r="C39" s="90"/>
      <c r="D39" s="90"/>
      <c r="E39" s="90"/>
      <c r="F39" s="90"/>
      <c r="G39" s="90"/>
    </row>
    <row r="40" ht="24" customHeight="1">
      <c r="A40" s="83"/>
      <c r="B40" s="90" t="str">
        <v>登録済みは「パスの入力済み」を表します。実際に開けることは、職場のJUST Calcで確認してください。</v>
      </c>
      <c r="C40" s="90"/>
      <c r="D40" s="90"/>
      <c r="E40" s="90"/>
      <c r="F40" s="90"/>
      <c r="G40" s="90"/>
    </row>
    <row r="41" ht="24" customHeight="1">
      <c r="A41" s="83"/>
      <c r="B41" s="83"/>
      <c r="C41" s="83"/>
      <c r="D41" s="83"/>
      <c r="E41" s="83"/>
      <c r="F41" s="83"/>
      <c r="G41" s="83"/>
    </row>
    <row r="42" ht="24" customHeight="1">
      <c r="A42" s="83"/>
      <c r="B42" s="108" t="str">
        <v>初期登録の出典：ExcelゲートMVP8thの引継ぎメモ・地ケア版の配布設定と利用案内。職場の配置先は未登録です。</v>
      </c>
      <c r="C42" s="108"/>
      <c r="D42" s="108"/>
      <c r="E42" s="108"/>
      <c r="F42" s="108"/>
      <c r="G42" s="108"/>
    </row>
    <row r="43" ht="24" customHeight="1">
      <c r="A43" s="83"/>
      <c r="B43" s="83"/>
      <c r="C43" s="83"/>
      <c r="D43" s="83"/>
      <c r="E43" s="83"/>
      <c r="F43" s="83"/>
      <c r="G43" s="83"/>
    </row>
    <row r="44" ht="24" customHeight="1">
      <c r="A44" s="83"/>
      <c r="B44" s="83"/>
      <c r="C44" s="83"/>
      <c r="D44" s="83"/>
      <c r="E44" s="83"/>
      <c r="F44" s="83"/>
      <c r="G44" s="83"/>
    </row>
    <row r="45" ht="24" customHeight="1">
      <c r="A45" s="83"/>
      <c r="B45" s="83"/>
      <c r="C45" s="83"/>
      <c r="D45" s="83"/>
      <c r="E45" s="83"/>
      <c r="F45" s="83"/>
      <c r="G45" s="83"/>
    </row>
    <row r="46" ht="24" customHeight="1">
      <c r="A46" s="83"/>
      <c r="B46" s="83"/>
      <c r="C46" s="83"/>
      <c r="D46" s="83"/>
      <c r="E46" s="83"/>
      <c r="F46" s="83"/>
      <c r="G46" s="83"/>
    </row>
    <row r="47" ht="24" customHeight="1">
      <c r="A47" s="83"/>
      <c r="B47" s="83"/>
      <c r="C47" s="83"/>
      <c r="D47" s="83"/>
      <c r="E47" s="83"/>
      <c r="F47" s="83"/>
      <c r="G47" s="83"/>
    </row>
    <row r="48" ht="24" customHeight="1">
      <c r="A48" s="83"/>
      <c r="B48" s="83"/>
      <c r="C48" s="83"/>
      <c r="D48" s="83"/>
      <c r="E48" s="83"/>
      <c r="F48" s="83"/>
      <c r="G48" s="83"/>
    </row>
    <row r="49" ht="24" customHeight="1">
      <c r="A49" s="83"/>
      <c r="B49" s="83"/>
      <c r="C49" s="83"/>
      <c r="D49" s="83"/>
      <c r="E49" s="83"/>
      <c r="F49" s="83"/>
      <c r="G49" s="83"/>
    </row>
  </sheetData>
  <mergeCells>
    <mergeCell ref="B2:D2"/>
    <mergeCell ref="F2:G2"/>
    <mergeCell ref="B3:G3"/>
    <mergeCell ref="C5:G6"/>
    <mergeCell ref="C8:G8"/>
    <mergeCell ref="B9:G9"/>
    <mergeCell ref="B10:G10"/>
    <mergeCell ref="B11:G11"/>
    <mergeCell ref="B39:G39"/>
    <mergeCell ref="B40:G40"/>
    <mergeCell ref="B42:G42"/>
  </mergeCells>
  <dataValidations count="5">
    <dataValidation type="list" sqref="D13:D36">
      <formula1>"記録・共有,集計・確認,申請・管理,業務支援,資料・ガイド"</formula1>
    </dataValidation>
    <dataValidation type="textLength" operator="lessThanOrEqual" allowBlank="1" showErrorMessage="1" showInputMessage="1" sqref="B13:B36" errorTitle="アプリ名が長すぎます" error="28文字以内で入力してください。" promptTitle="アプリ名" prompt="28文字以内で入力します。">
      <formula1>28</formula1>
    </dataValidation>
    <dataValidation type="textLength" operator="lessThanOrEqual" allowBlank="1" showErrorMessage="1" showInputMessage="1" sqref="C13:C36" errorTitle="説明が長すぎます" error="50文字以内で入力してください。" promptTitle="説明" prompt="50文字以内で入力します。">
      <formula1>50</formula1>
    </dataValidation>
    <dataValidation type="textLength" operator="lessThanOrEqual" allowBlank="1" showErrorMessage="1" showInputMessage="1" sqref="F13:F36" errorTitle="アイコン文字が長すぎます" error="1文字以内で入力してください。" promptTitle="アイコン文字" prompt="1文字以内で入力します。">
      <formula1>1</formula1>
    </dataValidation>
    <dataValidation type="textLength" operator="lessThanOrEqual" allowBlank="1" showErrorMessage="1" showInputMessage="1" sqref="C5" errorTitle="一言が長すぎます" error="100文字以内で入力してください。" promptTitle="一言" prompt="100文字以内で入力します。">
      <formula1>100</formula1>
    </dataValidation>
  </dataValidations>
  <pageMargins left="0.7" right="0.7" top="0.75" bottom="0.75" header="0.3" footer="0.3"/>
</worksheet>
</file>